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ml.chartshapes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aslynn\Downloads\"/>
    </mc:Choice>
  </mc:AlternateContent>
  <xr:revisionPtr revIDLastSave="0" documentId="8_{21D56564-654C-4979-8EE8-7862D84B3E31}" xr6:coauthVersionLast="47" xr6:coauthVersionMax="47" xr10:uidLastSave="{00000000-0000-0000-0000-000000000000}"/>
  <bookViews>
    <workbookView xWindow="-108" yWindow="-108" windowWidth="23256" windowHeight="12576" xr2:uid="{659590A7-D46A-47CD-AE87-52480EFEBCB8}"/>
  </bookViews>
  <sheets>
    <sheet name="Data" sheetId="2" r:id="rId1"/>
    <sheet name="Technology" sheetId="4" r:id="rId2"/>
    <sheet name="Healthcare" sheetId="5" r:id="rId3"/>
    <sheet name="Food and Clothing" sheetId="7" r:id="rId4"/>
    <sheet name="Industry" sheetId="8" r:id="rId5"/>
    <sheet name="Bottom 3" sheetId="10" r:id="rId6"/>
  </sheets>
  <calcPr calcId="191029"/>
  <pivotCaches>
    <pivotCache cacheId="53" r:id="rId7"/>
    <pivotCache cacheId="5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<sst xmlns="http://schemas.openxmlformats.org/spreadsheetml/2006/main" count="144" uniqueCount="80">
  <si>
    <t>Symbol</t>
  </si>
  <si>
    <t>Volume</t>
  </si>
  <si>
    <t>KO</t>
  </si>
  <si>
    <t>INTC</t>
  </si>
  <si>
    <t>Intel Corporation</t>
  </si>
  <si>
    <t>PG</t>
  </si>
  <si>
    <t>WMT</t>
  </si>
  <si>
    <t>MCD</t>
  </si>
  <si>
    <t>JNJ</t>
  </si>
  <si>
    <t>Johnson &amp; Johnson</t>
  </si>
  <si>
    <t>MRK</t>
  </si>
  <si>
    <t>MSFT</t>
  </si>
  <si>
    <t>WBA</t>
  </si>
  <si>
    <t>VZ</t>
  </si>
  <si>
    <t>BA</t>
  </si>
  <si>
    <t>CVX</t>
  </si>
  <si>
    <t>AAPL</t>
  </si>
  <si>
    <t>Apple Inc.</t>
  </si>
  <si>
    <t>HD</t>
  </si>
  <si>
    <t>NKE</t>
  </si>
  <si>
    <t>CAT</t>
  </si>
  <si>
    <t>Caterpillar Inc.</t>
  </si>
  <si>
    <t>CSCO</t>
  </si>
  <si>
    <t>GS</t>
  </si>
  <si>
    <t>PFE</t>
  </si>
  <si>
    <t>XOM</t>
  </si>
  <si>
    <t>JPM</t>
  </si>
  <si>
    <t>MMM</t>
  </si>
  <si>
    <t>3M Company</t>
  </si>
  <si>
    <t>DIS</t>
  </si>
  <si>
    <t>IBM</t>
  </si>
  <si>
    <t>TRV</t>
  </si>
  <si>
    <t>V</t>
  </si>
  <si>
    <t>AXP</t>
  </si>
  <si>
    <t>UNH</t>
  </si>
  <si>
    <t>UTX</t>
  </si>
  <si>
    <t xml:space="preserve">Company </t>
  </si>
  <si>
    <t>Boeing</t>
  </si>
  <si>
    <t>Home Depot, Inc.</t>
  </si>
  <si>
    <t>JPMorgan Chase</t>
  </si>
  <si>
    <t>Merck &amp; Co.</t>
  </si>
  <si>
    <t>Microsoft</t>
  </si>
  <si>
    <t>Nike</t>
  </si>
  <si>
    <t>Pfizer</t>
  </si>
  <si>
    <t>Procter &amp; Gamble</t>
  </si>
  <si>
    <t>Raytheon Technologies</t>
  </si>
  <si>
    <t>UnitedHealth Group</t>
  </si>
  <si>
    <t>Verizon</t>
  </si>
  <si>
    <t>Visa</t>
  </si>
  <si>
    <t>Walgreens Boots Alliance</t>
  </si>
  <si>
    <t>Walmart</t>
  </si>
  <si>
    <t>Industry</t>
  </si>
  <si>
    <t>Conglomerate</t>
  </si>
  <si>
    <t>Financial Services</t>
  </si>
  <si>
    <t>Petroleum</t>
  </si>
  <si>
    <t>Food</t>
  </si>
  <si>
    <t>Retailing</t>
  </si>
  <si>
    <t>Apparel</t>
  </si>
  <si>
    <t>Telecommunication</t>
  </si>
  <si>
    <t>Pharmaceutical</t>
  </si>
  <si>
    <t>Share Price ($)</t>
  </si>
  <si>
    <t>Travelers</t>
  </si>
  <si>
    <t>Coca-Cola</t>
  </si>
  <si>
    <t>McDonald's</t>
  </si>
  <si>
    <t>Manufacturing</t>
  </si>
  <si>
    <t>Consumer Goods</t>
  </si>
  <si>
    <t>Entertainment</t>
  </si>
  <si>
    <t>American Express</t>
  </si>
  <si>
    <t>Goldman Sachs</t>
  </si>
  <si>
    <t>Exxon Mobil</t>
  </si>
  <si>
    <t>Disney</t>
  </si>
  <si>
    <t>Chevron</t>
  </si>
  <si>
    <t>Cisco Systems</t>
  </si>
  <si>
    <t>Technology</t>
  </si>
  <si>
    <t>Healthcare</t>
  </si>
  <si>
    <t>Sum of Volume</t>
  </si>
  <si>
    <t>Sum of Share Price ($)</t>
  </si>
  <si>
    <t>Row Labels</t>
  </si>
  <si>
    <t>Grand Total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</si>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</sst>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[DBMS-160_Mod1-Jazz.xlsx]Technology!PivotTable16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Technology Volume and Shares 	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Technology!$C$1</c:f>
              <c:strCache>
                <c:ptCount val="1"/>
                <c:pt idx="0">
                  <c:v>Sum of Volume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Technology!$A$2:$A$8</c:f>
              <c:multiLvlStrCache>
                <c:ptCount val="5"/>
                <c:lvl>
                  <c:pt idx="0">
                    <c:v>Apple Inc.</c:v>
                  </c:pt>
                  <c:pt idx="1">
                    <c:v>Cisco Systems</c:v>
                  </c:pt>
                  <c:pt idx="2">
                    <c:v>IBM</c:v>
                  </c:pt>
                  <c:pt idx="3">
                    <c:v>Intel Corporation</c:v>
                  </c:pt>
                  <c:pt idx="4">
                    <c:v>Microsoft</c:v>
                  </c:pt>
                </c:lvl>
                <c:lvl>
                  <c:pt idx="0">
                    <c:v>Technology</c:v>
                  </c:pt>
                </c:lvl>
              </c:multiLvlStrCache>
            </c:multiLvlStrRef>
          </c:cat>
          <c:val>
            <c:numRef>
              <c:f>Technology!$C$2:$C$8</c:f>
              <c:numCache>
                <c:formatCode>General</c:formatCode>
                <c:ptCount val="5"/>
                <c:pt idx="0">
                  <c:v>32470017</c:v>
                </c:pt>
                <c:pt idx="1">
                  <c:v>21235157</c:v>
                </c:pt>
                <c:pt idx="2">
                  <c:v>3909196</c:v>
                </c:pt>
                <c:pt idx="3">
                  <c:v>23906062</c:v>
                </c:pt>
                <c:pt idx="4">
                  <c:v>41243284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29-404F-AD61-ECFC145EF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1731407"/>
        <c:axId val="151733807"/>
      </c:barChart>
      <c:lineChart>
        <c:grouping val="standard"/>
        <c:varyColors val="0"/>
        <c:ser>
          <c:idx val="0"/>
          <c:order val="0"/>
          <c:tx>
            <c:strRef>
              <c:f>Technology!$B$1</c:f>
              <c:strCache>
                <c:ptCount val="1"/>
                <c:pt idx="0">
                  <c:v>Sum of Share Price ($)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Technology!$A$2:$A$8</c:f>
              <c:multiLvlStrCache>
                <c:ptCount val="5"/>
                <c:lvl>
                  <c:pt idx="0">
                    <c:v>Apple Inc.</c:v>
                  </c:pt>
                  <c:pt idx="1">
                    <c:v>Cisco Systems</c:v>
                  </c:pt>
                  <c:pt idx="2">
                    <c:v>IBM</c:v>
                  </c:pt>
                  <c:pt idx="3">
                    <c:v>Intel Corporation</c:v>
                  </c:pt>
                  <c:pt idx="4">
                    <c:v>Microsoft</c:v>
                  </c:pt>
                </c:lvl>
                <c:lvl>
                  <c:pt idx="0">
                    <c:v>Technology</c:v>
                  </c:pt>
                </c:lvl>
              </c:multiLvlStrCache>
            </c:multiLvlStrRef>
          </c:cat>
          <c:val>
            <c:numRef>
              <c:f>Technology!$B$2:$B$8</c:f>
              <c:numCache>
                <c:formatCode>General</c:formatCode>
                <c:ptCount val="5"/>
                <c:pt idx="0">
                  <c:v>241.41</c:v>
                </c:pt>
                <c:pt idx="1">
                  <c:v>39.06</c:v>
                </c:pt>
                <c:pt idx="2">
                  <c:v>106.34</c:v>
                </c:pt>
                <c:pt idx="3">
                  <c:v>54.13</c:v>
                </c:pt>
                <c:pt idx="4">
                  <c:v>153.83000000000001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29-404F-AD61-ECFC145EF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415263"/>
        <c:axId val="250400863"/>
      </c:lineChart>
      <c:catAx>
        <c:axId val="250415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400863"/>
        <c:crosses val="autoZero"/>
        <c:auto val="1"/>
        <c:lblAlgn val="ctr"/>
        <c:lblOffset val="100"/>
        <c:noMultiLvlLbl val="0"/>
      </c:catAx>
      <c:valAx>
        <c:axId val="25040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415263"/>
        <c:crosses val="autoZero"/>
        <c:crossBetween val="between"/>
      </c:valAx>
      <c:valAx>
        <c:axId val="151733807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31407"/>
        <c:crosses val="max"/>
        <c:crossBetween val="between"/>
      </c:valAx>
      <c:catAx>
        <c:axId val="15173140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17338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[DBMS-160_Mod1-Jazz.xlsx]Healthcare!PivotTable19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Healthcare</a:t>
            </a:r>
            <a:r>
              <a:rPr lang="en-US" baseline="0"/>
              <a:t> and Pharmaceutical Shares and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Healthcare!$C$1</c:f>
              <c:strCache>
                <c:ptCount val="1"/>
                <c:pt idx="0">
                  <c:v>Sum of Volume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Healthcare!$A$2:$A$8</c:f>
              <c:multiLvlStrCache>
                <c:ptCount val="4"/>
                <c:lvl>
                  <c:pt idx="0">
                    <c:v>UnitedHealth Group</c:v>
                  </c:pt>
                  <c:pt idx="1">
                    <c:v>Johnson &amp; Johnson</c:v>
                  </c:pt>
                  <c:pt idx="2">
                    <c:v>Merck &amp; Co.</c:v>
                  </c:pt>
                  <c:pt idx="3">
                    <c:v>Pfizer</c:v>
                  </c:pt>
                </c:lvl>
                <c:lvl>
                  <c:pt idx="0">
                    <c:v>Healthcare</c:v>
                  </c:pt>
                  <c:pt idx="1">
                    <c:v>Pharmaceutical</c:v>
                  </c:pt>
                </c:lvl>
              </c:multiLvlStrCache>
            </c:multiLvlStrRef>
          </c:cat>
          <c:val>
            <c:numRef>
              <c:f>Healthcare!$C$2:$C$8</c:f>
              <c:numCache>
                <c:formatCode>General</c:formatCode>
                <c:ptCount val="4"/>
                <c:pt idx="0">
                  <c:v>4356992</c:v>
                </c:pt>
                <c:pt idx="1">
                  <c:v>9409033</c:v>
                </c:pt>
                <c:pt idx="2">
                  <c:v>9181539</c:v>
                </c:pt>
                <c:pt idx="3">
                  <c:v>30306371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47-449D-BAA1-2668F27E4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50404223"/>
        <c:axId val="250425343"/>
      </c:barChart>
      <c:lineChart>
        <c:grouping val="standard"/>
        <c:varyColors val="0"/>
        <c:ser>
          <c:idx val="0"/>
          <c:order val="0"/>
          <c:tx>
            <c:strRef>
              <c:f>Healthcare!$B$1</c:f>
              <c:strCache>
                <c:ptCount val="1"/>
                <c:pt idx="0">
                  <c:v>Sum of Share Price ($)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Healthcare!$A$2:$A$8</c:f>
              <c:multiLvlStrCache>
                <c:ptCount val="4"/>
                <c:lvl>
                  <c:pt idx="0">
                    <c:v>UnitedHealth Group</c:v>
                  </c:pt>
                  <c:pt idx="1">
                    <c:v>Johnson &amp; Johnson</c:v>
                  </c:pt>
                  <c:pt idx="2">
                    <c:v>Merck &amp; Co.</c:v>
                  </c:pt>
                  <c:pt idx="3">
                    <c:v>Pfizer</c:v>
                  </c:pt>
                </c:lvl>
                <c:lvl>
                  <c:pt idx="0">
                    <c:v>Healthcare</c:v>
                  </c:pt>
                  <c:pt idx="1">
                    <c:v>Pharmaceutical</c:v>
                  </c:pt>
                </c:lvl>
              </c:multiLvlStrCache>
            </c:multiLvlStrRef>
          </c:cat>
          <c:val>
            <c:numRef>
              <c:f>Healthcare!$B$2:$B$8</c:f>
              <c:numCache>
                <c:formatCode>General</c:formatCode>
                <c:ptCount val="4"/>
                <c:pt idx="0">
                  <c:v>229.49</c:v>
                </c:pt>
                <c:pt idx="1">
                  <c:v>134.16999999999999</c:v>
                </c:pt>
                <c:pt idx="2">
                  <c:v>76.25</c:v>
                </c:pt>
                <c:pt idx="3">
                  <c:v>33.64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47-449D-BAA1-2668F27E4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729967"/>
        <c:axId val="151725647"/>
      </c:lineChart>
      <c:catAx>
        <c:axId val="250404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425343"/>
        <c:crosses val="autoZero"/>
        <c:auto val="1"/>
        <c:lblAlgn val="ctr"/>
        <c:lblOffset val="100"/>
        <c:noMultiLvlLbl val="0"/>
      </c:catAx>
      <c:valAx>
        <c:axId val="25042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404223"/>
        <c:crosses val="autoZero"/>
        <c:crossBetween val="between"/>
      </c:valAx>
      <c:valAx>
        <c:axId val="151725647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29967"/>
        <c:crosses val="max"/>
        <c:crossBetween val="between"/>
      </c:valAx>
      <c:catAx>
        <c:axId val="1517299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17256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[DBMS-160_Mod1-Jazz.xlsx]Food and Clothing!PivotTable22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Food and Clothing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'Food and Clothing'!$C$1</c:f>
              <c:strCache>
                <c:ptCount val="1"/>
                <c:pt idx="0">
                  <c:v>Sum of Volume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'Food and Clothing'!$A$2:$A$7</c:f>
              <c:multiLvlStrCache>
                <c:ptCount val="3"/>
                <c:lvl>
                  <c:pt idx="0">
                    <c:v>Nike</c:v>
                  </c:pt>
                  <c:pt idx="1">
                    <c:v>Coca-Cola</c:v>
                  </c:pt>
                  <c:pt idx="2">
                    <c:v>McDonald's</c:v>
                  </c:pt>
                </c:lvl>
                <c:lvl>
                  <c:pt idx="0">
                    <c:v>Apparel</c:v>
                  </c:pt>
                  <c:pt idx="1">
                    <c:v>Food</c:v>
                  </c:pt>
                </c:lvl>
              </c:multiLvlStrCache>
            </c:multiLvlStrRef>
          </c:cat>
          <c:val>
            <c:numRef>
              <c:f>'Food and Clothing'!$C$2:$C$7</c:f>
              <c:numCache>
                <c:formatCode>General</c:formatCode>
                <c:ptCount val="3"/>
                <c:pt idx="0">
                  <c:v>8297443</c:v>
                </c:pt>
                <c:pt idx="1">
                  <c:v>13294556</c:v>
                </c:pt>
                <c:pt idx="2">
                  <c:v>4361094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09-494B-B79B-5582E2D51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3405343"/>
        <c:axId val="153404863"/>
      </c:barChart>
      <c:lineChart>
        <c:grouping val="standard"/>
        <c:varyColors val="0"/>
        <c:ser>
          <c:idx val="0"/>
          <c:order val="0"/>
          <c:tx>
            <c:strRef>
              <c:f>'Food and Clothing'!$B$1</c:f>
              <c:strCache>
                <c:ptCount val="1"/>
                <c:pt idx="0">
                  <c:v>Sum of Share Price ($)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'Food and Clothing'!$A$2:$A$7</c:f>
              <c:multiLvlStrCache>
                <c:ptCount val="3"/>
                <c:lvl>
                  <c:pt idx="0">
                    <c:v>Nike</c:v>
                  </c:pt>
                  <c:pt idx="1">
                    <c:v>Coca-Cola</c:v>
                  </c:pt>
                  <c:pt idx="2">
                    <c:v>McDonald's</c:v>
                  </c:pt>
                </c:lvl>
                <c:lvl>
                  <c:pt idx="0">
                    <c:v>Apparel</c:v>
                  </c:pt>
                  <c:pt idx="1">
                    <c:v>Food</c:v>
                  </c:pt>
                </c:lvl>
              </c:multiLvlStrCache>
            </c:multiLvlStrRef>
          </c:cat>
          <c:val>
            <c:numRef>
              <c:f>'Food and Clothing'!$B$2:$B$7</c:f>
              <c:numCache>
                <c:formatCode>General</c:formatCode>
                <c:ptCount val="3"/>
                <c:pt idx="0">
                  <c:v>78.86</c:v>
                </c:pt>
                <c:pt idx="1">
                  <c:v>43.83</c:v>
                </c:pt>
                <c:pt idx="2">
                  <c:v>160.33000000000001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9-494B-B79B-5582E2D51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721807"/>
        <c:axId val="151730927"/>
      </c:lineChart>
      <c:catAx>
        <c:axId val="15172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30927"/>
        <c:crosses val="autoZero"/>
        <c:auto val="1"/>
        <c:lblAlgn val="ctr"/>
        <c:lblOffset val="100"/>
        <c:noMultiLvlLbl val="0"/>
      </c:catAx>
      <c:valAx>
        <c:axId val="15173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21807"/>
        <c:crosses val="autoZero"/>
        <c:crossBetween val="between"/>
      </c:valAx>
      <c:valAx>
        <c:axId val="153404863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05343"/>
        <c:crosses val="max"/>
        <c:crossBetween val="between"/>
      </c:valAx>
      <c:catAx>
        <c:axId val="1534053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34048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[DBMS-160_Mod1-Jazz.xlsx]Industry!PivotTable23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Shares by Industry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Industry!$B$1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Industry!$A$2:$A$16</c:f>
              <c:strCache>
                <c:ptCount val="14"/>
                <c:pt idx="0">
                  <c:v>(blank)</c:v>
                </c:pt>
                <c:pt idx="1">
                  <c:v>Telecommunication</c:v>
                </c:pt>
                <c:pt idx="2">
                  <c:v>Apparel</c:v>
                </c:pt>
                <c:pt idx="3">
                  <c:v>Entertainment</c:v>
                </c:pt>
                <c:pt idx="4">
                  <c:v>Petroleum</c:v>
                </c:pt>
                <c:pt idx="5">
                  <c:v>Consumer Goods</c:v>
                </c:pt>
                <c:pt idx="6">
                  <c:v>Food</c:v>
                </c:pt>
                <c:pt idx="7">
                  <c:v>Conglomerate</c:v>
                </c:pt>
                <c:pt idx="8">
                  <c:v>Healthcare</c:v>
                </c:pt>
                <c:pt idx="9">
                  <c:v>Manufacturing</c:v>
                </c:pt>
                <c:pt idx="10">
                  <c:v>Pharmaceutical</c:v>
                </c:pt>
                <c:pt idx="11">
                  <c:v>Retailing</c:v>
                </c:pt>
                <c:pt idx="12">
                  <c:v>Financial Services</c:v>
                </c:pt>
                <c:pt idx="13">
                  <c:v>Technology</c:v>
                </c:pt>
              </c:strCache>
            </c:strRef>
          </c:cat>
          <c:val>
            <c:numRef>
              <c:f>Industry!$B$2:$B$16</c:f>
              <c:numCache>
                <c:formatCode>General</c:formatCode>
                <c:ptCount val="14"/>
                <c:pt idx="1">
                  <c:v>54.7</c:v>
                </c:pt>
                <c:pt idx="2">
                  <c:v>78.86</c:v>
                </c:pt>
                <c:pt idx="3">
                  <c:v>93.88</c:v>
                </c:pt>
                <c:pt idx="4">
                  <c:v>114.32</c:v>
                </c:pt>
                <c:pt idx="5">
                  <c:v>115.08</c:v>
                </c:pt>
                <c:pt idx="6">
                  <c:v>204.16000000000003</c:v>
                </c:pt>
                <c:pt idx="7">
                  <c:v>219.8</c:v>
                </c:pt>
                <c:pt idx="8">
                  <c:v>229.49</c:v>
                </c:pt>
                <c:pt idx="9">
                  <c:v>239.19</c:v>
                </c:pt>
                <c:pt idx="10">
                  <c:v>244.06</c:v>
                </c:pt>
                <c:pt idx="11">
                  <c:v>338.9</c:v>
                </c:pt>
                <c:pt idx="12">
                  <c:v>550.31999999999994</c:v>
                </c:pt>
                <c:pt idx="13">
                  <c:v>594.7700000000001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2D-4717-BF84-1DD91B6B6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91715343"/>
        <c:axId val="291711023"/>
      </c:barChart>
      <c:catAx>
        <c:axId val="291715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711023"/>
        <c:crosses val="autoZero"/>
        <c:auto val="1"/>
        <c:lblAlgn val="ctr"/>
        <c:lblOffset val="100"/>
        <c:noMultiLvlLbl val="0"/>
      </c:catAx>
      <c:valAx>
        <c:axId val="291711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715343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[DBMS-160_Mod1-Jazz.xlsx]Bottom 3!PivotTable25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Bottom 3 Companies by Volume</a:t>
            </a:r>
          </a:p>
        </c:rich>
      </c:tx>
      <c:layout>
        <c:manualLayout>
          <c:xMode val="edge"/>
          <c:yMode val="edge"/>
          <c:x val="0.25361111111111118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'Bottom 3'!$B$1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'Bottom 3'!$A$2:$A$5</c:f>
              <c:strCache>
                <c:ptCount val="3"/>
                <c:pt idx="0">
                  <c:v>3M Company</c:v>
                </c:pt>
                <c:pt idx="1">
                  <c:v>Goldman Sachs</c:v>
                </c:pt>
                <c:pt idx="2">
                  <c:v>Travelers</c:v>
                </c:pt>
              </c:strCache>
            </c:strRef>
          </c:cat>
          <c:val>
            <c:numRef>
              <c:f>'Bottom 3'!$B$2:$B$5</c:f>
              <c:numCache>
                <c:formatCode>General</c:formatCode>
                <c:ptCount val="3"/>
                <c:pt idx="0">
                  <c:v>3461642</c:v>
                </c:pt>
                <c:pt idx="1">
                  <c:v>2773298</c:v>
                </c:pt>
                <c:pt idx="2">
                  <c:v>1595000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A0-422C-8B91-18B938A12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291732623"/>
        <c:axId val="291720623"/>
      </c:barChart>
      <c:catAx>
        <c:axId val="291732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720623"/>
        <c:crosses val="autoZero"/>
        <c:auto val="1"/>
        <c:lblAlgn val="ctr"/>
        <c:lblOffset val="100"/>
        <c:noMultiLvlLbl val="0"/>
      </c:catAx>
      <c:valAx>
        <c:axId val="29172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73262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[DBMS-160_Mod1-Jazz.xlsx]Technology!PivotTable16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Technology!$C$1</c:f>
              <c:strCache>
                <c:ptCount val="1"/>
                <c:pt idx="0">
                  <c:v>Sum of Volume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Technology!$A$2:$A$8</c:f>
              <c:multiLvlStrCache>
                <c:ptCount val="5"/>
                <c:lvl>
                  <c:pt idx="0">
                    <c:v>Apple Inc.</c:v>
                  </c:pt>
                  <c:pt idx="1">
                    <c:v>Cisco Systems</c:v>
                  </c:pt>
                  <c:pt idx="2">
                    <c:v>IBM</c:v>
                  </c:pt>
                  <c:pt idx="3">
                    <c:v>Intel Corporation</c:v>
                  </c:pt>
                  <c:pt idx="4">
                    <c:v>Microsoft</c:v>
                  </c:pt>
                </c:lvl>
                <c:lvl>
                  <c:pt idx="0">
                    <c:v>Technology</c:v>
                  </c:pt>
                </c:lvl>
              </c:multiLvlStrCache>
            </c:multiLvlStrRef>
          </c:cat>
          <c:val>
            <c:numRef>
              <c:f>Technology!$C$2:$C$8</c:f>
              <c:numCache>
                <c:formatCode>General</c:formatCode>
                <c:ptCount val="5"/>
                <c:pt idx="0">
                  <c:v>32470017</c:v>
                </c:pt>
                <c:pt idx="1">
                  <c:v>21235157</c:v>
                </c:pt>
                <c:pt idx="2">
                  <c:v>3909196</c:v>
                </c:pt>
                <c:pt idx="3">
                  <c:v>23906062</c:v>
                </c:pt>
                <c:pt idx="4">
                  <c:v>41243284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942-49A1-87D4-E8E76B189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1731407"/>
        <c:axId val="151733807"/>
      </c:barChart>
      <c:lineChart>
        <c:grouping val="standard"/>
        <c:varyColors val="0"/>
        <c:ser>
          <c:idx val="0"/>
          <c:order val="0"/>
          <c:tx>
            <c:strRef>
              <c:f>Technology!$B$1</c:f>
              <c:strCache>
                <c:ptCount val="1"/>
                <c:pt idx="0">
                  <c:v>Sum of Share Price ($)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Technology!$A$2:$A$8</c:f>
              <c:multiLvlStrCache>
                <c:ptCount val="5"/>
                <c:lvl>
                  <c:pt idx="0">
                    <c:v>Apple Inc.</c:v>
                  </c:pt>
                  <c:pt idx="1">
                    <c:v>Cisco Systems</c:v>
                  </c:pt>
                  <c:pt idx="2">
                    <c:v>IBM</c:v>
                  </c:pt>
                  <c:pt idx="3">
                    <c:v>Intel Corporation</c:v>
                  </c:pt>
                  <c:pt idx="4">
                    <c:v>Microsoft</c:v>
                  </c:pt>
                </c:lvl>
                <c:lvl>
                  <c:pt idx="0">
                    <c:v>Technology</c:v>
                  </c:pt>
                </c:lvl>
              </c:multiLvlStrCache>
            </c:multiLvlStrRef>
          </c:cat>
          <c:val>
            <c:numRef>
              <c:f>Technology!$B$2:$B$8</c:f>
              <c:numCache>
                <c:formatCode>General</c:formatCode>
                <c:ptCount val="5"/>
                <c:pt idx="0">
                  <c:v>241.41</c:v>
                </c:pt>
                <c:pt idx="1">
                  <c:v>39.06</c:v>
                </c:pt>
                <c:pt idx="2">
                  <c:v>106.34</c:v>
                </c:pt>
                <c:pt idx="3">
                  <c:v>54.13</c:v>
                </c:pt>
                <c:pt idx="4">
                  <c:v>153.83000000000001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942-49A1-87D4-E8E76B189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415263"/>
        <c:axId val="250400863"/>
      </c:lineChart>
      <c:catAx>
        <c:axId val="250415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400863"/>
        <c:crosses val="autoZero"/>
        <c:auto val="1"/>
        <c:lblAlgn val="ctr"/>
        <c:lblOffset val="100"/>
        <c:noMultiLvlLbl val="0"/>
      </c:catAx>
      <c:valAx>
        <c:axId val="25040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415263"/>
        <c:crosses val="autoZero"/>
        <c:crossBetween val="between"/>
      </c:valAx>
      <c:valAx>
        <c:axId val="1517338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31407"/>
        <c:crosses val="max"/>
        <c:crossBetween val="between"/>
      </c:valAx>
      <c:catAx>
        <c:axId val="1517314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173380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[DBMS-160_Mod1-Jazz.xlsx]Healthcare!PivotTable19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Healthcare</a:t>
            </a:r>
            <a:r>
              <a:rPr lang="en-US" baseline="0"/>
              <a:t> and Pharmaceutical Shares and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Healthcare!$C$1</c:f>
              <c:strCache>
                <c:ptCount val="1"/>
                <c:pt idx="0">
                  <c:v>Sum of Volume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Healthcare!$A$2:$A$8</c:f>
              <c:multiLvlStrCache>
                <c:ptCount val="4"/>
                <c:lvl>
                  <c:pt idx="0">
                    <c:v>UnitedHealth Group</c:v>
                  </c:pt>
                  <c:pt idx="1">
                    <c:v>Johnson &amp; Johnson</c:v>
                  </c:pt>
                  <c:pt idx="2">
                    <c:v>Merck &amp; Co.</c:v>
                  </c:pt>
                  <c:pt idx="3">
                    <c:v>Pfizer</c:v>
                  </c:pt>
                </c:lvl>
                <c:lvl>
                  <c:pt idx="0">
                    <c:v>Healthcare</c:v>
                  </c:pt>
                  <c:pt idx="1">
                    <c:v>Pharmaceutical</c:v>
                  </c:pt>
                </c:lvl>
              </c:multiLvlStrCache>
            </c:multiLvlStrRef>
          </c:cat>
          <c:val>
            <c:numRef>
              <c:f>Healthcare!$C$2:$C$8</c:f>
              <c:numCache>
                <c:formatCode>General</c:formatCode>
                <c:ptCount val="4"/>
                <c:pt idx="0">
                  <c:v>4356992</c:v>
                </c:pt>
                <c:pt idx="1">
                  <c:v>9409033</c:v>
                </c:pt>
                <c:pt idx="2">
                  <c:v>9181539</c:v>
                </c:pt>
                <c:pt idx="3">
                  <c:v>30306371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87-4664-8E21-E44892E3A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50404223"/>
        <c:axId val="250425343"/>
      </c:barChart>
      <c:lineChart>
        <c:grouping val="standard"/>
        <c:varyColors val="0"/>
        <c:ser>
          <c:idx val="0"/>
          <c:order val="0"/>
          <c:tx>
            <c:strRef>
              <c:f>Healthcare!$B$1</c:f>
              <c:strCache>
                <c:ptCount val="1"/>
                <c:pt idx="0">
                  <c:v>Sum of Share Price ($)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Healthcare!$A$2:$A$8</c:f>
              <c:multiLvlStrCache>
                <c:ptCount val="4"/>
                <c:lvl>
                  <c:pt idx="0">
                    <c:v>UnitedHealth Group</c:v>
                  </c:pt>
                  <c:pt idx="1">
                    <c:v>Johnson &amp; Johnson</c:v>
                  </c:pt>
                  <c:pt idx="2">
                    <c:v>Merck &amp; Co.</c:v>
                  </c:pt>
                  <c:pt idx="3">
                    <c:v>Pfizer</c:v>
                  </c:pt>
                </c:lvl>
                <c:lvl>
                  <c:pt idx="0">
                    <c:v>Healthcare</c:v>
                  </c:pt>
                  <c:pt idx="1">
                    <c:v>Pharmaceutical</c:v>
                  </c:pt>
                </c:lvl>
              </c:multiLvlStrCache>
            </c:multiLvlStrRef>
          </c:cat>
          <c:val>
            <c:numRef>
              <c:f>Healthcare!$B$2:$B$8</c:f>
              <c:numCache>
                <c:formatCode>General</c:formatCode>
                <c:ptCount val="4"/>
                <c:pt idx="0">
                  <c:v>229.49</c:v>
                </c:pt>
                <c:pt idx="1">
                  <c:v>134.16999999999999</c:v>
                </c:pt>
                <c:pt idx="2">
                  <c:v>76.25</c:v>
                </c:pt>
                <c:pt idx="3">
                  <c:v>33.64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7-4664-8E21-E44892E3A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729967"/>
        <c:axId val="151725647"/>
      </c:lineChart>
      <c:catAx>
        <c:axId val="250404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425343"/>
        <c:crosses val="autoZero"/>
        <c:auto val="1"/>
        <c:lblAlgn val="ctr"/>
        <c:lblOffset val="100"/>
        <c:noMultiLvlLbl val="0"/>
      </c:catAx>
      <c:valAx>
        <c:axId val="25042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404223"/>
        <c:crosses val="autoZero"/>
        <c:crossBetween val="between"/>
      </c:valAx>
      <c:valAx>
        <c:axId val="151725647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29967"/>
        <c:crosses val="max"/>
        <c:crossBetween val="between"/>
      </c:valAx>
      <c:catAx>
        <c:axId val="1517299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172564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[DBMS-160_Mod1-Jazz.xlsx]Food and Clothing!PivotTable22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Food</a:t>
            </a:r>
            <a:r>
              <a:rPr lang="en-US" baseline="0"/>
              <a:t> and Clothing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'Food and Clothing'!$C$1</c:f>
              <c:strCache>
                <c:ptCount val="1"/>
                <c:pt idx="0">
                  <c:v>Sum of Volume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'Food and Clothing'!$A$2:$A$7</c:f>
              <c:multiLvlStrCache>
                <c:ptCount val="3"/>
                <c:lvl>
                  <c:pt idx="0">
                    <c:v>Nike</c:v>
                  </c:pt>
                  <c:pt idx="1">
                    <c:v>Coca-Cola</c:v>
                  </c:pt>
                  <c:pt idx="2">
                    <c:v>McDonald's</c:v>
                  </c:pt>
                </c:lvl>
                <c:lvl>
                  <c:pt idx="0">
                    <c:v>Apparel</c:v>
                  </c:pt>
                  <c:pt idx="1">
                    <c:v>Food</c:v>
                  </c:pt>
                </c:lvl>
              </c:multiLvlStrCache>
            </c:multiLvlStrRef>
          </c:cat>
          <c:val>
            <c:numRef>
              <c:f>'Food and Clothing'!$C$2:$C$7</c:f>
              <c:numCache>
                <c:formatCode>General</c:formatCode>
                <c:ptCount val="3"/>
                <c:pt idx="0">
                  <c:v>8297443</c:v>
                </c:pt>
                <c:pt idx="1">
                  <c:v>13294556</c:v>
                </c:pt>
                <c:pt idx="2">
                  <c:v>4361094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1C6-448F-A8AD-89B800352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3405343"/>
        <c:axId val="153404863"/>
      </c:barChart>
      <c:lineChart>
        <c:grouping val="standard"/>
        <c:varyColors val="0"/>
        <c:ser>
          <c:idx val="0"/>
          <c:order val="0"/>
          <c:tx>
            <c:strRef>
              <c:f>'Food and Clothing'!$B$1</c:f>
              <c:strCache>
                <c:ptCount val="1"/>
                <c:pt idx="0">
                  <c:v>Sum of Share Price ($)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'Food and Clothing'!$A$2:$A$7</c:f>
              <c:multiLvlStrCache>
                <c:ptCount val="3"/>
                <c:lvl>
                  <c:pt idx="0">
                    <c:v>Nike</c:v>
                  </c:pt>
                  <c:pt idx="1">
                    <c:v>Coca-Cola</c:v>
                  </c:pt>
                  <c:pt idx="2">
                    <c:v>McDonald's</c:v>
                  </c:pt>
                </c:lvl>
                <c:lvl>
                  <c:pt idx="0">
                    <c:v>Apparel</c:v>
                  </c:pt>
                  <c:pt idx="1">
                    <c:v>Food</c:v>
                  </c:pt>
                </c:lvl>
              </c:multiLvlStrCache>
            </c:multiLvlStrRef>
          </c:cat>
          <c:val>
            <c:numRef>
              <c:f>'Food and Clothing'!$B$2:$B$7</c:f>
              <c:numCache>
                <c:formatCode>General</c:formatCode>
                <c:ptCount val="3"/>
                <c:pt idx="0">
                  <c:v>78.86</c:v>
                </c:pt>
                <c:pt idx="1">
                  <c:v>43.83</c:v>
                </c:pt>
                <c:pt idx="2">
                  <c:v>160.33000000000001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1C6-448F-A8AD-89B800352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721807"/>
        <c:axId val="151730927"/>
      </c:lineChart>
      <c:catAx>
        <c:axId val="15172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30927"/>
        <c:crosses val="autoZero"/>
        <c:auto val="1"/>
        <c:lblAlgn val="ctr"/>
        <c:lblOffset val="100"/>
        <c:noMultiLvlLbl val="0"/>
      </c:catAx>
      <c:valAx>
        <c:axId val="15173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21807"/>
        <c:crosses val="autoZero"/>
        <c:crossBetween val="between"/>
      </c:valAx>
      <c:valAx>
        <c:axId val="15340486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05343"/>
        <c:crosses val="max"/>
        <c:crossBetween val="between"/>
      </c:valAx>
      <c:catAx>
        <c:axId val="1534053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340486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[DBMS-160_Mod1-Jazz.xlsx]Industry!PivotTable23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Shares</a:t>
            </a:r>
            <a:r>
              <a:rPr lang="en-US" baseline="0"/>
              <a:t> by Industry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Industry!$B$1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Industry!$A$2:$A$16</c:f>
              <c:strCache>
                <c:ptCount val="14"/>
                <c:pt idx="0">
                  <c:v>(blank)</c:v>
                </c:pt>
                <c:pt idx="1">
                  <c:v>Telecommunication</c:v>
                </c:pt>
                <c:pt idx="2">
                  <c:v>Apparel</c:v>
                </c:pt>
                <c:pt idx="3">
                  <c:v>Entertainment</c:v>
                </c:pt>
                <c:pt idx="4">
                  <c:v>Petroleum</c:v>
                </c:pt>
                <c:pt idx="5">
                  <c:v>Consumer Goods</c:v>
                </c:pt>
                <c:pt idx="6">
                  <c:v>Food</c:v>
                </c:pt>
                <c:pt idx="7">
                  <c:v>Conglomerate</c:v>
                </c:pt>
                <c:pt idx="8">
                  <c:v>Healthcare</c:v>
                </c:pt>
                <c:pt idx="9">
                  <c:v>Manufacturing</c:v>
                </c:pt>
                <c:pt idx="10">
                  <c:v>Pharmaceutical</c:v>
                </c:pt>
                <c:pt idx="11">
                  <c:v>Retailing</c:v>
                </c:pt>
                <c:pt idx="12">
                  <c:v>Financial Services</c:v>
                </c:pt>
                <c:pt idx="13">
                  <c:v>Technology</c:v>
                </c:pt>
              </c:strCache>
            </c:strRef>
          </c:cat>
          <c:val>
            <c:numRef>
              <c:f>Industry!$B$2:$B$16</c:f>
              <c:numCache>
                <c:formatCode>General</c:formatCode>
                <c:ptCount val="14"/>
                <c:pt idx="1">
                  <c:v>54.7</c:v>
                </c:pt>
                <c:pt idx="2">
                  <c:v>78.86</c:v>
                </c:pt>
                <c:pt idx="3">
                  <c:v>93.88</c:v>
                </c:pt>
                <c:pt idx="4">
                  <c:v>114.32</c:v>
                </c:pt>
                <c:pt idx="5">
                  <c:v>115.08</c:v>
                </c:pt>
                <c:pt idx="6">
                  <c:v>204.16000000000003</c:v>
                </c:pt>
                <c:pt idx="7">
                  <c:v>219.8</c:v>
                </c:pt>
                <c:pt idx="8">
                  <c:v>229.49</c:v>
                </c:pt>
                <c:pt idx="9">
                  <c:v>239.19</c:v>
                </c:pt>
                <c:pt idx="10">
                  <c:v>244.06</c:v>
                </c:pt>
                <c:pt idx="11">
                  <c:v>338.9</c:v>
                </c:pt>
                <c:pt idx="12">
                  <c:v>550.31999999999994</c:v>
                </c:pt>
                <c:pt idx="13">
                  <c:v>594.7700000000001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16-4AA2-880C-BD2F3965E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91715343"/>
        <c:axId val="291711023"/>
      </c:barChart>
      <c:catAx>
        <c:axId val="291715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711023"/>
        <c:crosses val="autoZero"/>
        <c:auto val="1"/>
        <c:lblAlgn val="ctr"/>
        <c:lblOffset val="100"/>
        <c:noMultiLvlLbl val="0"/>
      </c:catAx>
      <c:valAx>
        <c:axId val="291711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715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[DBMS-160_Mod1-Jazz.xlsx]Bottom 3!PivotTable25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Bottom 3 Companies</a:t>
            </a:r>
            <a:r>
              <a:rPr lang="en-US" baseline="0"/>
              <a:t> by Volume</a:t>
            </a:r>
            <a:endParaRPr lang="en-US"/>
          </a:p>
        </c:rich>
      </c:tx>
      <c:layout>
        <c:manualLayout>
          <c:xMode val="edge"/>
          <c:yMode val="edge"/>
          <c:x val="0.25361111111111118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'Bottom 3'!$B$1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'Bottom 3'!$A$2:$A$5</c:f>
              <c:strCache>
                <c:ptCount val="3"/>
                <c:pt idx="0">
                  <c:v>3M Company</c:v>
                </c:pt>
                <c:pt idx="1">
                  <c:v>Goldman Sachs</c:v>
                </c:pt>
                <c:pt idx="2">
                  <c:v>Travelers</c:v>
                </c:pt>
              </c:strCache>
            </c:strRef>
          </c:cat>
          <c:val>
            <c:numRef>
              <c:f>'Bottom 3'!$B$2:$B$5</c:f>
              <c:numCache>
                <c:formatCode>General</c:formatCode>
                <c:ptCount val="3"/>
                <c:pt idx="0">
                  <c:v>3461642</c:v>
                </c:pt>
                <c:pt idx="1">
                  <c:v>2773298</c:v>
                </c:pt>
                <c:pt idx="2">
                  <c:v>1595000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5E-47D9-BB73-6F5FDCC76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1732623"/>
        <c:axId val="291720623"/>
      </c:barChart>
      <c:catAx>
        <c:axId val="29173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720623"/>
        <c:crosses val="autoZero"/>
        <c:auto val="1"/>
        <c:lblAlgn val="ctr"/>
        <c:lblOffset val="100"/>
        <c:noMultiLvlLbl val="0"/>
      </c:catAx>
      <c:valAx>
        <c:axId val="29172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732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7620</xdr:rowOff>
    </xdr:from>
    <xdr:to>
      <xdr:col>12</xdr:col>
      <xdr:colOff>327660</xdr:colOff>
      <xdr:row>14</xdr:row>
      <xdr:rowOff>106680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DF98CA6-E1AE-43B8-AC4E-E8248053A0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14</xdr:row>
      <xdr:rowOff>117475</xdr:rowOff>
    </xdr:from>
    <xdr:to>
      <xdr:col>11</xdr:col>
      <xdr:colOff>38100</xdr:colOff>
      <xdr:row>31</xdr:row>
      <xdr:rowOff>78740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90C518A-0490-43C3-B125-8461D52694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342900</xdr:colOff>
      <xdr:row>0</xdr:row>
      <xdr:rowOff>0</xdr:rowOff>
    </xdr:from>
    <xdr:to>
      <xdr:col>19</xdr:col>
      <xdr:colOff>0</xdr:colOff>
      <xdr:row>15</xdr:row>
      <xdr:rowOff>28575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BBB3051-2589-4D48-B716-E2179AE1EB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85725</xdr:colOff>
      <xdr:row>15</xdr:row>
      <xdr:rowOff>0</xdr:rowOff>
    </xdr:from>
    <xdr:to>
      <xdr:col>17</xdr:col>
      <xdr:colOff>371475</xdr:colOff>
      <xdr:row>31</xdr:row>
      <xdr:rowOff>91440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17F962A-30ED-499E-9811-4CF35B7B48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400050</xdr:colOff>
      <xdr:row>15</xdr:row>
      <xdr:rowOff>66675</xdr:rowOff>
    </xdr:from>
    <xdr:to>
      <xdr:col>24</xdr:col>
      <xdr:colOff>571500</xdr:colOff>
      <xdr:row>30</xdr:row>
      <xdr:rowOff>95250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CAED013-F8F7-4246-BE5D-EAB91E97A1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0.42932</cdr:x>
      <cdr:y>0.00264</cdr:y>
    </cdr:from>
    <cdr:to>
      <cdr:x>0.97083</cdr:x>
      <cdr:y>0.20819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0C0B3F9-AEF1-BC55-7DC3-7BF1B71FCEEF}"/>
            </a:ext>
          </a:extLst>
        </cdr:cNvPr>
        <cdr:cNvSpPr txBox="1"/>
      </cdr:nvSpPr>
      <cdr:spPr>
        <a:xfrm xmlns:a="http://schemas.openxmlformats.org/drawingml/2006/main">
          <a:off x="2018486" y="7620"/>
          <a:ext cx="2545894" cy="5936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220980</xdr:colOff>
      <xdr:row>0</xdr:row>
      <xdr:rowOff>175260</xdr:rowOff>
    </xdr:from>
    <xdr:to>
      <xdr:col>12</xdr:col>
      <xdr:colOff>45720</xdr:colOff>
      <xdr:row>15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1F986F-EB69-75F2-D17A-10C18D80DA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0.42932</cdr:x>
      <cdr:y>0.00264</cdr:y>
    </cdr:from>
    <cdr:to>
      <cdr:x>0.97083</cdr:x>
      <cdr:y>0.20819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0C0B3F9-AEF1-BC55-7DC3-7BF1B71FCEEF}"/>
            </a:ext>
          </a:extLst>
        </cdr:cNvPr>
        <cdr:cNvSpPr txBox="1"/>
      </cdr:nvSpPr>
      <cdr:spPr>
        <a:xfrm xmlns:a="http://schemas.openxmlformats.org/drawingml/2006/main">
          <a:off x="2018486" y="7620"/>
          <a:ext cx="2545894" cy="5936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Technology</a:t>
          </a:r>
          <a:r>
            <a:rPr lang="en-US" sz="1100" baseline="0"/>
            <a:t> Volume and Shares 	</a:t>
          </a:r>
          <a:endParaRPr lang="en-US" sz="11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17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CA12A5-1681-4B8B-152C-8DFDD0A4C6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A8FC65-EEC1-D9D6-7DE4-4853EA158C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17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DDFD5-33AF-E3B9-BB28-A2A05C5521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EA48F7-A04C-8C1B-EB20-2C16EC602D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slynn" refreshedDate="45525.456760532405" createdVersion="8" refreshedVersion="8" minRefreshableVersion="3" recordCount="29" xr:uid="{88921AAF-808E-4B71-A43C-892E976BA180}">
  <cacheSource type="worksheet">
    <worksheetSource ref="A1:E30" sheet="Data"/>
  </cacheSource>
  <cacheFields count="5">
    <cacheField name="Company " numFmtId="0">
      <sharedItems count="29">
        <s v="Apple Inc."/>
        <s v="American Express"/>
        <s v="Boeing"/>
        <s v="Caterpillar Inc."/>
        <s v="Cisco Systems"/>
        <s v="Chevron"/>
        <s v="Disney"/>
        <s v="Goldman Sachs"/>
        <s v="Home Depot, Inc."/>
        <s v="IBM"/>
        <s v="Intel Corporation"/>
        <s v="Johnson &amp; Johnson"/>
        <s v="JPMorgan Chase"/>
        <s v="Coca-Cola"/>
        <s v="McDonald's"/>
        <s v="3M Company"/>
        <s v="Merck &amp; Co."/>
        <s v="Microsoft"/>
        <s v="Nike"/>
        <s v="Pfizer"/>
        <s v="Procter &amp; Gamble"/>
        <s v="Travelers"/>
        <s v="UnitedHealth Group"/>
        <s v="Raytheon Technologies"/>
        <s v="Visa"/>
        <s v="Verizon"/>
        <s v="Walgreens Boots Alliance"/>
        <s v="Walmart"/>
        <s v="Exxon Mobil"/>
      </sharedItems>
    </cacheField>
    <cacheField name="Symbol" numFmtId="0">
      <sharedItems/>
    </cacheField>
    <cacheField name="Industry" numFmtId="0">
      <sharedItems count="13">
        <s v="Technology"/>
        <s v="Financial Services"/>
        <s v="Manufacturing"/>
        <s v="Petroleum"/>
        <s v="Entertainment"/>
        <s v="Retailing"/>
        <s v="Pharmaceutical"/>
        <s v="Food"/>
        <s v="Conglomerate"/>
        <s v="Apparel"/>
        <s v="Consumer Goods"/>
        <s v="Healthcare"/>
        <s v="Telecommunication"/>
      </sharedItems>
    </cacheField>
    <cacheField name="Share Price ($)" numFmtId="0">
      <sharedItems containsSemiMixedTypes="0" containsString="0" containsNumber="1" minValue="33.64" maxValue="241.41"/>
    </cacheField>
    <cacheField name="Volume" numFmtId="164">
      <sharedItems containsSemiMixedTypes="0" containsString="0" containsNumber="1" containsInteger="1" minValue="1595000" maxValue="480948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slynn" refreshedDate="45525.462732870372" createdVersion="8" refreshedVersion="8" minRefreshableVersion="3" recordCount="30" xr:uid="{56EAE8F6-B647-4089-BC87-0B5A6500B431}">
  <cacheSource type="worksheet">
    <worksheetSource ref="A1:E1048576" sheet="Data"/>
  </cacheSource>
  <cacheFields count="5">
    <cacheField name="Company " numFmtId="0">
      <sharedItems containsBlank="1" count="30">
        <s v="Apple Inc."/>
        <s v="American Express"/>
        <s v="Boeing"/>
        <s v="Caterpillar Inc."/>
        <s v="Cisco Systems"/>
        <s v="Chevron"/>
        <s v="Disney"/>
        <s v="Goldman Sachs"/>
        <s v="Home Depot, Inc."/>
        <s v="IBM"/>
        <s v="Intel Corporation"/>
        <s v="Johnson &amp; Johnson"/>
        <s v="JPMorgan Chase"/>
        <s v="Coca-Cola"/>
        <s v="McDonald's"/>
        <s v="3M Company"/>
        <s v="Merck &amp; Co."/>
        <s v="Microsoft"/>
        <s v="Nike"/>
        <s v="Pfizer"/>
        <s v="Procter &amp; Gamble"/>
        <s v="Travelers"/>
        <s v="UnitedHealth Group"/>
        <s v="Raytheon Technologies"/>
        <s v="Visa"/>
        <s v="Verizon"/>
        <s v="Walgreens Boots Alliance"/>
        <s v="Walmart"/>
        <s v="Exxon Mobil"/>
        <m/>
      </sharedItems>
    </cacheField>
    <cacheField name="Symbol" numFmtId="0">
      <sharedItems containsBlank="1" count="30">
        <s v="AAPL"/>
        <s v="AXP"/>
        <s v="BA"/>
        <s v="CAT"/>
        <s v="CSCO"/>
        <s v="CVX"/>
        <s v="DIS"/>
        <s v="GS"/>
        <s v="HD"/>
        <s v="IBM"/>
        <s v="INTC"/>
        <s v="JNJ"/>
        <s v="JPM"/>
        <s v="KO"/>
        <s v="MCD"/>
        <s v="MMM"/>
        <s v="MRK"/>
        <s v="MSFT"/>
        <s v="NKE"/>
        <s v="PFE"/>
        <s v="PG"/>
        <s v="TRV"/>
        <s v="UNH"/>
        <s v="UTX"/>
        <s v="V"/>
        <s v="VZ"/>
        <s v="WBA"/>
        <s v="WMT"/>
        <s v="XOM"/>
        <m/>
      </sharedItems>
    </cacheField>
    <cacheField name="Industry" numFmtId="0">
      <sharedItems containsBlank="1" count="14">
        <s v="Technology"/>
        <s v="Financial Services"/>
        <s v="Manufacturing"/>
        <s v="Petroleum"/>
        <s v="Entertainment"/>
        <s v="Retailing"/>
        <s v="Pharmaceutical"/>
        <s v="Food"/>
        <s v="Conglomerate"/>
        <s v="Apparel"/>
        <s v="Consumer Goods"/>
        <s v="Healthcare"/>
        <s v="Telecommunication"/>
        <m/>
      </sharedItems>
    </cacheField>
    <cacheField name="Share Price ($)" numFmtId="0">
      <sharedItems containsString="0" containsBlank="1" containsNumber="1" minValue="33.64" maxValue="241.41" count="30">
        <n v="241.41"/>
        <n v="73.599999999999994"/>
        <n v="124.52"/>
        <n v="114.67"/>
        <n v="39.06"/>
        <n v="75.11"/>
        <n v="93.88"/>
        <n v="146.93"/>
        <n v="178.7"/>
        <n v="106.34"/>
        <n v="54.13"/>
        <n v="134.16999999999999"/>
        <n v="84.05"/>
        <n v="43.83"/>
        <n v="160.33000000000001"/>
        <n v="133.79"/>
        <n v="76.25"/>
        <n v="153.83000000000001"/>
        <n v="78.86"/>
        <n v="33.64"/>
        <n v="115.08"/>
        <n v="93.89"/>
        <n v="229.49"/>
        <n v="86.01"/>
        <n v="151.85"/>
        <n v="54.7"/>
        <n v="40.72"/>
        <n v="119.48"/>
        <n v="39.21"/>
        <m/>
      </sharedItems>
    </cacheField>
    <cacheField name="Volume" numFmtId="0">
      <sharedItems containsString="0" containsBlank="1" containsNumber="1" containsInteger="1" minValue="1595000" maxValue="48094821" count="30">
        <n v="32470017"/>
        <n v="9902194"/>
        <n v="36489379"/>
        <n v="4803174"/>
        <n v="21235157"/>
        <n v="14317998"/>
        <n v="14592062"/>
        <n v="2773298"/>
        <n v="6762357"/>
        <n v="3909196"/>
        <n v="23906062"/>
        <n v="9409033"/>
        <n v="20363095"/>
        <n v="13294556"/>
        <n v="4361094"/>
        <n v="3461642"/>
        <n v="9181539"/>
        <n v="41243284"/>
        <n v="8297443"/>
        <n v="30306371"/>
        <n v="7520086"/>
        <n v="1595000"/>
        <n v="4356992"/>
        <n v="13203254"/>
        <n v="11649519"/>
        <n v="16304703"/>
        <n v="6489129"/>
        <n v="9390287"/>
        <n v="48094821"/>
        <m/>
      </sharedItems>
    </cacheField>
  </cacheFields>
  <extLst>
    <ext xmlns:x14="http://schemas.microsoft.com/office/spreadsheetml/2009/9/main" uri="{725AE2AE-9491-48be-B2B4-4EB974FC3084}">
      <x14:pivotCacheDefinition pivotCacheId="155763878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s v="AAPL"/>
    <x v="0"/>
    <n v="241.41"/>
    <n v="32470017"/>
  </r>
  <r>
    <x v="1"/>
    <s v="AXP"/>
    <x v="1"/>
    <n v="73.599999999999994"/>
    <n v="9902194"/>
  </r>
  <r>
    <x v="2"/>
    <s v="BA"/>
    <x v="2"/>
    <n v="124.52"/>
    <n v="36489379"/>
  </r>
  <r>
    <x v="3"/>
    <s v="CAT"/>
    <x v="2"/>
    <n v="114.67"/>
    <n v="4803174"/>
  </r>
  <r>
    <x v="4"/>
    <s v="CSCO"/>
    <x v="0"/>
    <n v="39.06"/>
    <n v="21235157"/>
  </r>
  <r>
    <x v="5"/>
    <s v="CVX"/>
    <x v="3"/>
    <n v="75.11"/>
    <n v="14317998"/>
  </r>
  <r>
    <x v="6"/>
    <s v="DIS"/>
    <x v="4"/>
    <n v="93.88"/>
    <n v="14592062"/>
  </r>
  <r>
    <x v="7"/>
    <s v="GS"/>
    <x v="1"/>
    <n v="146.93"/>
    <n v="2773298"/>
  </r>
  <r>
    <x v="8"/>
    <s v="HD"/>
    <x v="5"/>
    <n v="178.7"/>
    <n v="6762357"/>
  </r>
  <r>
    <x v="9"/>
    <s v="IBM"/>
    <x v="0"/>
    <n v="106.34"/>
    <n v="3909196"/>
  </r>
  <r>
    <x v="10"/>
    <s v="INTC"/>
    <x v="0"/>
    <n v="54.13"/>
    <n v="23906062"/>
  </r>
  <r>
    <x v="11"/>
    <s v="JNJ"/>
    <x v="6"/>
    <n v="134.16999999999999"/>
    <n v="9409033"/>
  </r>
  <r>
    <x v="12"/>
    <s v="JPM"/>
    <x v="1"/>
    <n v="84.05"/>
    <n v="20363095"/>
  </r>
  <r>
    <x v="13"/>
    <s v="KO"/>
    <x v="7"/>
    <n v="43.83"/>
    <n v="13294556"/>
  </r>
  <r>
    <x v="14"/>
    <s v="MCD"/>
    <x v="7"/>
    <n v="160.33000000000001"/>
    <n v="4361094"/>
  </r>
  <r>
    <x v="15"/>
    <s v="MMM"/>
    <x v="8"/>
    <n v="133.79"/>
    <n v="3461642"/>
  </r>
  <r>
    <x v="16"/>
    <s v="MRK"/>
    <x v="6"/>
    <n v="76.25"/>
    <n v="9181539"/>
  </r>
  <r>
    <x v="17"/>
    <s v="MSFT"/>
    <x v="0"/>
    <n v="153.83000000000001"/>
    <n v="41243284"/>
  </r>
  <r>
    <x v="18"/>
    <s v="NKE"/>
    <x v="9"/>
    <n v="78.86"/>
    <n v="8297443"/>
  </r>
  <r>
    <x v="19"/>
    <s v="PFE"/>
    <x v="6"/>
    <n v="33.64"/>
    <n v="30306371"/>
  </r>
  <r>
    <x v="20"/>
    <s v="PG"/>
    <x v="10"/>
    <n v="115.08"/>
    <n v="7520086"/>
  </r>
  <r>
    <x v="21"/>
    <s v="TRV"/>
    <x v="1"/>
    <n v="93.89"/>
    <n v="1595000"/>
  </r>
  <r>
    <x v="22"/>
    <s v="UNH"/>
    <x v="11"/>
    <n v="229.49"/>
    <n v="4356992"/>
  </r>
  <r>
    <x v="23"/>
    <s v="UTX"/>
    <x v="8"/>
    <n v="86.01"/>
    <n v="13203254"/>
  </r>
  <r>
    <x v="24"/>
    <s v="V"/>
    <x v="1"/>
    <n v="151.85"/>
    <n v="11649519"/>
  </r>
  <r>
    <x v="25"/>
    <s v="VZ"/>
    <x v="12"/>
    <n v="54.7"/>
    <n v="16304703"/>
  </r>
  <r>
    <x v="26"/>
    <s v="WBA"/>
    <x v="5"/>
    <n v="40.72"/>
    <n v="6489129"/>
  </r>
  <r>
    <x v="27"/>
    <s v="WMT"/>
    <x v="5"/>
    <n v="119.48"/>
    <n v="9390287"/>
  </r>
  <r>
    <x v="28"/>
    <s v="XOM"/>
    <x v="3"/>
    <n v="39.21"/>
    <n v="4809482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x v="0"/>
    <x v="0"/>
    <x v="0"/>
  </r>
  <r>
    <x v="1"/>
    <x v="1"/>
    <x v="1"/>
    <x v="1"/>
    <x v="1"/>
  </r>
  <r>
    <x v="2"/>
    <x v="2"/>
    <x v="2"/>
    <x v="2"/>
    <x v="2"/>
  </r>
  <r>
    <x v="3"/>
    <x v="3"/>
    <x v="2"/>
    <x v="3"/>
    <x v="3"/>
  </r>
  <r>
    <x v="4"/>
    <x v="4"/>
    <x v="0"/>
    <x v="4"/>
    <x v="4"/>
  </r>
  <r>
    <x v="5"/>
    <x v="5"/>
    <x v="3"/>
    <x v="5"/>
    <x v="5"/>
  </r>
  <r>
    <x v="6"/>
    <x v="6"/>
    <x v="4"/>
    <x v="6"/>
    <x v="6"/>
  </r>
  <r>
    <x v="7"/>
    <x v="7"/>
    <x v="1"/>
    <x v="7"/>
    <x v="7"/>
  </r>
  <r>
    <x v="8"/>
    <x v="8"/>
    <x v="5"/>
    <x v="8"/>
    <x v="8"/>
  </r>
  <r>
    <x v="9"/>
    <x v="9"/>
    <x v="0"/>
    <x v="9"/>
    <x v="9"/>
  </r>
  <r>
    <x v="10"/>
    <x v="10"/>
    <x v="0"/>
    <x v="10"/>
    <x v="10"/>
  </r>
  <r>
    <x v="11"/>
    <x v="11"/>
    <x v="6"/>
    <x v="11"/>
    <x v="11"/>
  </r>
  <r>
    <x v="12"/>
    <x v="12"/>
    <x v="1"/>
    <x v="12"/>
    <x v="12"/>
  </r>
  <r>
    <x v="13"/>
    <x v="13"/>
    <x v="7"/>
    <x v="13"/>
    <x v="13"/>
  </r>
  <r>
    <x v="14"/>
    <x v="14"/>
    <x v="7"/>
    <x v="14"/>
    <x v="14"/>
  </r>
  <r>
    <x v="15"/>
    <x v="15"/>
    <x v="8"/>
    <x v="15"/>
    <x v="15"/>
  </r>
  <r>
    <x v="16"/>
    <x v="16"/>
    <x v="6"/>
    <x v="16"/>
    <x v="16"/>
  </r>
  <r>
    <x v="17"/>
    <x v="17"/>
    <x v="0"/>
    <x v="17"/>
    <x v="17"/>
  </r>
  <r>
    <x v="18"/>
    <x v="18"/>
    <x v="9"/>
    <x v="18"/>
    <x v="18"/>
  </r>
  <r>
    <x v="19"/>
    <x v="19"/>
    <x v="6"/>
    <x v="19"/>
    <x v="19"/>
  </r>
  <r>
    <x v="20"/>
    <x v="20"/>
    <x v="10"/>
    <x v="20"/>
    <x v="20"/>
  </r>
  <r>
    <x v="21"/>
    <x v="21"/>
    <x v="1"/>
    <x v="21"/>
    <x v="21"/>
  </r>
  <r>
    <x v="22"/>
    <x v="22"/>
    <x v="11"/>
    <x v="22"/>
    <x v="22"/>
  </r>
  <r>
    <x v="23"/>
    <x v="23"/>
    <x v="8"/>
    <x v="23"/>
    <x v="23"/>
  </r>
  <r>
    <x v="24"/>
    <x v="24"/>
    <x v="1"/>
    <x v="24"/>
    <x v="24"/>
  </r>
  <r>
    <x v="25"/>
    <x v="25"/>
    <x v="12"/>
    <x v="25"/>
    <x v="25"/>
  </r>
  <r>
    <x v="26"/>
    <x v="26"/>
    <x v="5"/>
    <x v="26"/>
    <x v="26"/>
  </r>
  <r>
    <x v="27"/>
    <x v="27"/>
    <x v="5"/>
    <x v="27"/>
    <x v="27"/>
  </r>
  <r>
    <x v="28"/>
    <x v="28"/>
    <x v="3"/>
    <x v="28"/>
    <x v="28"/>
  </r>
  <r>
    <x v="29"/>
    <x v="29"/>
    <x v="13"/>
    <x v="29"/>
    <x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3F986C-8A7B-48B7-8F44-0B44C8032BCB}" name="PivotTable16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1:C8" firstHeaderRow="0" firstDataRow="1" firstDataCol="1"/>
  <pivotFields count="5">
    <pivotField axis="axisRow" showAll="0">
      <items count="30">
        <item x="15"/>
        <item x="1"/>
        <item x="0"/>
        <item x="2"/>
        <item x="3"/>
        <item x="5"/>
        <item x="4"/>
        <item x="13"/>
        <item x="6"/>
        <item x="28"/>
        <item x="7"/>
        <item x="8"/>
        <item x="9"/>
        <item x="10"/>
        <item x="11"/>
        <item x="12"/>
        <item x="14"/>
        <item x="16"/>
        <item x="17"/>
        <item x="18"/>
        <item x="19"/>
        <item x="20"/>
        <item x="23"/>
        <item x="21"/>
        <item x="22"/>
        <item x="25"/>
        <item x="24"/>
        <item x="26"/>
        <item x="27"/>
        <item t="default"/>
      </items>
    </pivotField>
    <pivotField showAll="0"/>
    <pivotField axis="axisRow" showAll="0">
      <items count="14">
        <item h="1" x="9"/>
        <item h="1" x="8"/>
        <item h="1" x="10"/>
        <item h="1" x="4"/>
        <item h="1" x="1"/>
        <item h="1" x="7"/>
        <item h="1" x="11"/>
        <item h="1" x="2"/>
        <item h="1" x="3"/>
        <item h="1" x="6"/>
        <item h="1" x="5"/>
        <item x="0"/>
        <item h="1" x="12"/>
        <item t="default"/>
      </items>
    </pivotField>
    <pivotField dataField="1" showAll="0"/>
    <pivotField dataField="1" numFmtId="164" showAll="0"/>
  </pivotFields>
  <rowFields count="2">
    <field x="2"/>
    <field x="0"/>
  </rowFields>
  <rowItems count="7">
    <i>
      <x v="11"/>
    </i>
    <i r="1">
      <x v="2"/>
    </i>
    <i r="1">
      <x v="6"/>
    </i>
    <i r="1">
      <x v="12"/>
    </i>
    <i r="1">
      <x v="13"/>
    </i>
    <i r="1"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hare Price ($)" fld="3" baseField="0" baseItem="0"/>
    <dataField name="Sum of Volume" fld="4" baseField="0" baseItem="0"/>
  </dataFields>
  <chartFormats count="4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4A2992-2EDB-47F5-91B7-181B9895F1CC}" name="PivotTable19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:C8" firstHeaderRow="0" firstDataRow="1" firstDataCol="1"/>
  <pivotFields count="5">
    <pivotField axis="axisRow" showAll="0">
      <items count="31">
        <item x="15"/>
        <item x="1"/>
        <item x="0"/>
        <item x="2"/>
        <item x="3"/>
        <item x="5"/>
        <item x="4"/>
        <item x="13"/>
        <item x="6"/>
        <item x="28"/>
        <item x="7"/>
        <item x="8"/>
        <item x="9"/>
        <item x="10"/>
        <item x="11"/>
        <item x="12"/>
        <item x="14"/>
        <item x="16"/>
        <item x="17"/>
        <item x="18"/>
        <item x="19"/>
        <item x="20"/>
        <item x="23"/>
        <item x="21"/>
        <item x="22"/>
        <item x="25"/>
        <item x="24"/>
        <item x="26"/>
        <item x="27"/>
        <item x="29"/>
        <item t="default"/>
      </items>
    </pivotField>
    <pivotField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Row" showAll="0">
      <items count="15">
        <item h="1" x="9"/>
        <item h="1" x="8"/>
        <item h="1" x="10"/>
        <item h="1" x="4"/>
        <item h="1" x="1"/>
        <item h="1" x="7"/>
        <item x="11"/>
        <item h="1" x="2"/>
        <item h="1" x="3"/>
        <item x="6"/>
        <item h="1" x="5"/>
        <item h="1" x="0"/>
        <item h="1" x="12"/>
        <item h="1" x="13"/>
        <item t="default"/>
      </items>
    </pivotField>
    <pivotField dataField="1" showAll="0"/>
    <pivotField dataField="1" showAll="0"/>
  </pivotFields>
  <rowFields count="2">
    <field x="2"/>
    <field x="0"/>
  </rowFields>
  <rowItems count="7">
    <i>
      <x v="6"/>
    </i>
    <i r="1">
      <x v="24"/>
    </i>
    <i>
      <x v="9"/>
    </i>
    <i r="1">
      <x v="14"/>
    </i>
    <i r="1">
      <x v="17"/>
    </i>
    <i r="1"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hare Price ($)" fld="3" baseField="0" baseItem="0"/>
    <dataField name="Sum of Volume" fld="4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98A687-24CD-4B01-AE1F-68DBE49478A7}" name="PivotTable22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:C7" firstHeaderRow="0" firstDataRow="1" firstDataCol="1"/>
  <pivotFields count="5">
    <pivotField axis="axisRow" showAll="0" sortType="ascending">
      <items count="31">
        <item x="15"/>
        <item x="1"/>
        <item x="0"/>
        <item x="2"/>
        <item x="3"/>
        <item x="5"/>
        <item x="4"/>
        <item x="13"/>
        <item x="6"/>
        <item x="28"/>
        <item x="7"/>
        <item x="8"/>
        <item x="9"/>
        <item x="10"/>
        <item x="11"/>
        <item x="12"/>
        <item x="14"/>
        <item x="16"/>
        <item x="17"/>
        <item x="18"/>
        <item x="19"/>
        <item x="20"/>
        <item x="23"/>
        <item x="21"/>
        <item x="22"/>
        <item x="25"/>
        <item x="24"/>
        <item x="26"/>
        <item x="27"/>
        <item x="29"/>
        <item t="default"/>
      </items>
    </pivotField>
    <pivotField showAll="0"/>
    <pivotField axis="axisRow" showAll="0">
      <items count="15">
        <item x="9"/>
        <item h="1" x="8"/>
        <item h="1" x="10"/>
        <item h="1" x="4"/>
        <item h="1" x="1"/>
        <item x="7"/>
        <item h="1" x="11"/>
        <item h="1" x="2"/>
        <item h="1" x="3"/>
        <item h="1" x="6"/>
        <item h="1" x="5"/>
        <item h="1" x="0"/>
        <item h="1" x="12"/>
        <item h="1" x="13"/>
        <item t="default"/>
      </items>
    </pivotField>
    <pivotField dataField="1" showAll="0"/>
    <pivotField dataField="1" showAll="0"/>
  </pivotFields>
  <rowFields count="2">
    <field x="2"/>
    <field x="0"/>
  </rowFields>
  <rowItems count="6">
    <i>
      <x/>
    </i>
    <i r="1">
      <x v="19"/>
    </i>
    <i>
      <x v="5"/>
    </i>
    <i r="1">
      <x v="7"/>
    </i>
    <i r="1"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hare Price ($)" fld="3" baseField="0" baseItem="0"/>
    <dataField name="Sum of Volume" fld="4" baseField="0" baseItem="0"/>
  </dataFields>
  <chartFormats count="4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F9024A-221C-40B0-A605-96B6745BAD3A}" name="PivotTable23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:B16" firstHeaderRow="1" firstDataRow="1" firstDataCol="1"/>
  <pivotFields count="5">
    <pivotField showAll="0">
      <items count="31">
        <item x="15"/>
        <item x="1"/>
        <item x="0"/>
        <item x="2"/>
        <item x="3"/>
        <item x="5"/>
        <item x="4"/>
        <item x="13"/>
        <item x="6"/>
        <item x="28"/>
        <item x="7"/>
        <item x="8"/>
        <item x="9"/>
        <item x="10"/>
        <item x="11"/>
        <item x="12"/>
        <item x="14"/>
        <item x="16"/>
        <item x="17"/>
        <item x="18"/>
        <item x="19"/>
        <item x="20"/>
        <item x="23"/>
        <item x="21"/>
        <item x="22"/>
        <item x="25"/>
        <item x="24"/>
        <item x="26"/>
        <item x="27"/>
        <item x="29"/>
        <item t="default"/>
      </items>
    </pivotField>
    <pivotField showAll="0"/>
    <pivotField axis="axisRow" showAll="0" sortType="ascending">
      <items count="15">
        <item x="0"/>
        <item x="1"/>
        <item x="5"/>
        <item x="6"/>
        <item x="2"/>
        <item x="11"/>
        <item x="8"/>
        <item x="7"/>
        <item x="10"/>
        <item x="3"/>
        <item x="4"/>
        <item x="9"/>
        <item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</pivotFields>
  <rowFields count="1">
    <field x="2"/>
  </rowFields>
  <rowItems count="15">
    <i>
      <x v="13"/>
    </i>
    <i>
      <x v="12"/>
    </i>
    <i>
      <x v="11"/>
    </i>
    <i>
      <x v="10"/>
    </i>
    <i>
      <x v="9"/>
    </i>
    <i>
      <x v="8"/>
    </i>
    <i>
      <x v="7"/>
    </i>
    <i>
      <x v="6"/>
    </i>
    <i>
      <x v="5"/>
    </i>
    <i>
      <x v="4"/>
    </i>
    <i>
      <x v="3"/>
    </i>
    <i>
      <x v="2"/>
    </i>
    <i>
      <x v="1"/>
    </i>
    <i>
      <x/>
    </i>
    <i t="grand">
      <x/>
    </i>
  </rowItems>
  <colItems count="1">
    <i/>
  </colItems>
  <dataFields count="1">
    <dataField name="Sum of Share Price ($)" fld="3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53C092-774A-43BA-8BF7-6FBD1653B601}" name="PivotTable25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5" firstHeaderRow="1" firstDataRow="1" firstDataCol="1"/>
  <pivotFields count="5">
    <pivotField axis="axisRow" showAll="0" measureFilter="1" sortType="descending">
      <items count="30">
        <item x="15"/>
        <item x="1"/>
        <item x="0"/>
        <item x="2"/>
        <item x="3"/>
        <item x="5"/>
        <item x="4"/>
        <item x="13"/>
        <item x="6"/>
        <item x="28"/>
        <item x="7"/>
        <item x="8"/>
        <item x="9"/>
        <item x="10"/>
        <item x="11"/>
        <item x="12"/>
        <item x="14"/>
        <item x="16"/>
        <item x="17"/>
        <item x="18"/>
        <item x="19"/>
        <item x="20"/>
        <item x="23"/>
        <item x="21"/>
        <item x="22"/>
        <item x="25"/>
        <item x="24"/>
        <item x="26"/>
        <item x="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numFmtId="164" showAll="0"/>
  </pivotFields>
  <rowFields count="1">
    <field x="0"/>
  </rowFields>
  <rowItems count="4">
    <i>
      <x/>
    </i>
    <i>
      <x v="10"/>
    </i>
    <i>
      <x v="23"/>
    </i>
    <i t="grand">
      <x/>
    </i>
  </rowItems>
  <colItems count="1">
    <i/>
  </colItems>
  <dataFields count="1">
    <dataField name="Sum of Volume" fld="4" baseField="0" baseItem="0"/>
  </dataField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top="0"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5161F-D920-447E-9187-69FBA39BAD8E}">
  <dimension ref="A1:E30"/>
  <sheetViews>
    <sheetView tabSelected="1" zoomScale="80" zoomScaleNormal="80" workbookViewId="0">
      <selection activeCell="U7" sqref="U7"/>
    </sheetView>
  </sheetViews>
  <sheetFormatPr defaultColWidth="9.109375" defaultRowHeight="14.4" x14ac:dyDescent="0.3"/>
  <cols>
    <col min="1" max="1" width="23.6640625" bestFit="1" customWidth="1"/>
    <col min="3" max="3" width="17.88671875" bestFit="1" customWidth="1"/>
    <col min="4" max="4" width="14.33203125" bestFit="1" customWidth="1"/>
    <col min="5" max="5" width="15.33203125" bestFit="1" customWidth="1"/>
    <col min="16" max="16" width="18.33203125" bestFit="1" customWidth="1"/>
    <col min="17" max="17" width="7.44140625" bestFit="1" customWidth="1"/>
  </cols>
  <sheetData>
    <row r="1" spans="1:5" x14ac:dyDescent="0.3">
      <c r="A1" s="1" t="s">
        <v>36</v>
      </c>
      <c r="B1" s="1" t="s">
        <v>0</v>
      </c>
      <c r="C1" s="1" t="s">
        <v>51</v>
      </c>
      <c r="D1" s="1" t="s">
        <v>60</v>
      </c>
      <c r="E1" s="1" t="s">
        <v>1</v>
      </c>
    </row>
    <row r="2" spans="1:5" x14ac:dyDescent="0.3">
      <c r="A2" t="s">
        <v>17</v>
      </c>
      <c r="B2" t="s">
        <v>16</v>
      </c>
      <c r="C2" t="s">
        <v>73</v>
      </c>
      <c r="D2">
        <v>241.41</v>
      </c>
      <c r="E2" s="2">
        <v>32470017</v>
      </c>
    </row>
    <row r="3" spans="1:5" x14ac:dyDescent="0.3">
      <c r="A3" t="s">
        <v>67</v>
      </c>
      <c r="B3" t="s">
        <v>33</v>
      </c>
      <c r="C3" t="s">
        <v>53</v>
      </c>
      <c r="D3">
        <v>73.599999999999994</v>
      </c>
      <c r="E3" s="2">
        <v>9902194</v>
      </c>
    </row>
    <row r="4" spans="1:5" x14ac:dyDescent="0.3">
      <c r="A4" t="s">
        <v>37</v>
      </c>
      <c r="B4" t="s">
        <v>14</v>
      </c>
      <c r="C4" t="s">
        <v>64</v>
      </c>
      <c r="D4">
        <v>124.52</v>
      </c>
      <c r="E4" s="2">
        <v>36489379</v>
      </c>
    </row>
    <row r="5" spans="1:5" x14ac:dyDescent="0.3">
      <c r="A5" t="s">
        <v>21</v>
      </c>
      <c r="B5" t="s">
        <v>20</v>
      </c>
      <c r="C5" t="s">
        <v>64</v>
      </c>
      <c r="D5">
        <v>114.67</v>
      </c>
      <c r="E5" s="2">
        <v>4803174</v>
      </c>
    </row>
    <row r="6" spans="1:5" x14ac:dyDescent="0.3">
      <c r="A6" t="s">
        <v>72</v>
      </c>
      <c r="B6" t="s">
        <v>22</v>
      </c>
      <c r="C6" t="s">
        <v>73</v>
      </c>
      <c r="D6">
        <v>39.06</v>
      </c>
      <c r="E6" s="2">
        <v>21235157</v>
      </c>
    </row>
    <row r="7" spans="1:5" x14ac:dyDescent="0.3">
      <c r="A7" t="s">
        <v>71</v>
      </c>
      <c r="B7" t="s">
        <v>15</v>
      </c>
      <c r="C7" t="s">
        <v>54</v>
      </c>
      <c r="D7">
        <v>75.11</v>
      </c>
      <c r="E7" s="2">
        <v>14317998</v>
      </c>
    </row>
    <row r="8" spans="1:5" x14ac:dyDescent="0.3">
      <c r="A8" t="s">
        <v>70</v>
      </c>
      <c r="B8" t="s">
        <v>29</v>
      </c>
      <c r="C8" t="s">
        <v>66</v>
      </c>
      <c r="D8">
        <v>93.88</v>
      </c>
      <c r="E8" s="2">
        <v>14592062</v>
      </c>
    </row>
    <row r="9" spans="1:5" x14ac:dyDescent="0.3">
      <c r="A9" t="s">
        <v>68</v>
      </c>
      <c r="B9" t="s">
        <v>23</v>
      </c>
      <c r="C9" t="s">
        <v>53</v>
      </c>
      <c r="D9">
        <v>146.93</v>
      </c>
      <c r="E9" s="2">
        <v>2773298</v>
      </c>
    </row>
    <row r="10" spans="1:5" x14ac:dyDescent="0.3">
      <c r="A10" t="s">
        <v>38</v>
      </c>
      <c r="B10" t="s">
        <v>18</v>
      </c>
      <c r="C10" t="s">
        <v>56</v>
      </c>
      <c r="D10">
        <v>178.7</v>
      </c>
      <c r="E10" s="2">
        <v>6762357</v>
      </c>
    </row>
    <row r="11" spans="1:5" x14ac:dyDescent="0.3">
      <c r="A11" t="s">
        <v>30</v>
      </c>
      <c r="B11" t="s">
        <v>30</v>
      </c>
      <c r="C11" t="s">
        <v>73</v>
      </c>
      <c r="D11">
        <v>106.34</v>
      </c>
      <c r="E11" s="2">
        <v>3909196</v>
      </c>
    </row>
    <row r="12" spans="1:5" x14ac:dyDescent="0.3">
      <c r="A12" t="s">
        <v>4</v>
      </c>
      <c r="B12" t="s">
        <v>3</v>
      </c>
      <c r="C12" t="s">
        <v>73</v>
      </c>
      <c r="D12">
        <v>54.13</v>
      </c>
      <c r="E12" s="2">
        <v>23906062</v>
      </c>
    </row>
    <row r="13" spans="1:5" x14ac:dyDescent="0.3">
      <c r="A13" t="s">
        <v>9</v>
      </c>
      <c r="B13" t="s">
        <v>8</v>
      </c>
      <c r="C13" t="s">
        <v>59</v>
      </c>
      <c r="D13">
        <v>134.16999999999999</v>
      </c>
      <c r="E13" s="2">
        <v>9409033</v>
      </c>
    </row>
    <row r="14" spans="1:5" x14ac:dyDescent="0.3">
      <c r="A14" t="s">
        <v>39</v>
      </c>
      <c r="B14" t="s">
        <v>26</v>
      </c>
      <c r="C14" t="s">
        <v>53</v>
      </c>
      <c r="D14">
        <v>84.05</v>
      </c>
      <c r="E14" s="2">
        <v>20363095</v>
      </c>
    </row>
    <row r="15" spans="1:5" x14ac:dyDescent="0.3">
      <c r="A15" t="s">
        <v>62</v>
      </c>
      <c r="B15" t="s">
        <v>2</v>
      </c>
      <c r="C15" t="s">
        <v>55</v>
      </c>
      <c r="D15">
        <v>43.83</v>
      </c>
      <c r="E15" s="2">
        <v>13294556</v>
      </c>
    </row>
    <row r="16" spans="1:5" x14ac:dyDescent="0.3">
      <c r="A16" t="s">
        <v>63</v>
      </c>
      <c r="B16" t="s">
        <v>7</v>
      </c>
      <c r="C16" t="s">
        <v>55</v>
      </c>
      <c r="D16">
        <v>160.33000000000001</v>
      </c>
      <c r="E16" s="2">
        <v>4361094</v>
      </c>
    </row>
    <row r="17" spans="1:5" x14ac:dyDescent="0.3">
      <c r="A17" t="s">
        <v>28</v>
      </c>
      <c r="B17" t="s">
        <v>27</v>
      </c>
      <c r="C17" t="s">
        <v>52</v>
      </c>
      <c r="D17">
        <v>133.79</v>
      </c>
      <c r="E17" s="2">
        <v>3461642</v>
      </c>
    </row>
    <row r="18" spans="1:5" x14ac:dyDescent="0.3">
      <c r="A18" t="s">
        <v>40</v>
      </c>
      <c r="B18" t="s">
        <v>10</v>
      </c>
      <c r="C18" t="s">
        <v>59</v>
      </c>
      <c r="D18">
        <v>76.25</v>
      </c>
      <c r="E18" s="2">
        <v>9181539</v>
      </c>
    </row>
    <row r="19" spans="1:5" x14ac:dyDescent="0.3">
      <c r="A19" t="s">
        <v>41</v>
      </c>
      <c r="B19" t="s">
        <v>11</v>
      </c>
      <c r="C19" t="s">
        <v>73</v>
      </c>
      <c r="D19">
        <v>153.83000000000001</v>
      </c>
      <c r="E19" s="2">
        <v>41243284</v>
      </c>
    </row>
    <row r="20" spans="1:5" x14ac:dyDescent="0.3">
      <c r="A20" t="s">
        <v>42</v>
      </c>
      <c r="B20" t="s">
        <v>19</v>
      </c>
      <c r="C20" t="s">
        <v>57</v>
      </c>
      <c r="D20">
        <v>78.86</v>
      </c>
      <c r="E20" s="2">
        <v>8297443</v>
      </c>
    </row>
    <row r="21" spans="1:5" x14ac:dyDescent="0.3">
      <c r="A21" t="s">
        <v>43</v>
      </c>
      <c r="B21" t="s">
        <v>24</v>
      </c>
      <c r="C21" t="s">
        <v>59</v>
      </c>
      <c r="D21">
        <v>33.64</v>
      </c>
      <c r="E21" s="2">
        <v>30306371</v>
      </c>
    </row>
    <row r="22" spans="1:5" x14ac:dyDescent="0.3">
      <c r="A22" t="s">
        <v>44</v>
      </c>
      <c r="B22" t="s">
        <v>5</v>
      </c>
      <c r="C22" t="s">
        <v>65</v>
      </c>
      <c r="D22">
        <v>115.08</v>
      </c>
      <c r="E22" s="2">
        <v>7520086</v>
      </c>
    </row>
    <row r="23" spans="1:5" x14ac:dyDescent="0.3">
      <c r="A23" t="s">
        <v>61</v>
      </c>
      <c r="B23" t="s">
        <v>31</v>
      </c>
      <c r="C23" t="s">
        <v>53</v>
      </c>
      <c r="D23">
        <v>93.89</v>
      </c>
      <c r="E23" s="2">
        <v>1595000</v>
      </c>
    </row>
    <row r="24" spans="1:5" x14ac:dyDescent="0.3">
      <c r="A24" t="s">
        <v>46</v>
      </c>
      <c r="B24" t="s">
        <v>34</v>
      </c>
      <c r="C24" t="s">
        <v>74</v>
      </c>
      <c r="D24">
        <v>229.49</v>
      </c>
      <c r="E24" s="2">
        <v>4356992</v>
      </c>
    </row>
    <row r="25" spans="1:5" x14ac:dyDescent="0.3">
      <c r="A25" t="s">
        <v>45</v>
      </c>
      <c r="B25" t="s">
        <v>35</v>
      </c>
      <c r="C25" t="s">
        <v>52</v>
      </c>
      <c r="D25">
        <v>86.01</v>
      </c>
      <c r="E25" s="2">
        <v>13203254</v>
      </c>
    </row>
    <row r="26" spans="1:5" x14ac:dyDescent="0.3">
      <c r="A26" t="s">
        <v>48</v>
      </c>
      <c r="B26" t="s">
        <v>32</v>
      </c>
      <c r="C26" t="s">
        <v>53</v>
      </c>
      <c r="D26">
        <v>151.85</v>
      </c>
      <c r="E26" s="2">
        <v>11649519</v>
      </c>
    </row>
    <row r="27" spans="1:5" x14ac:dyDescent="0.3">
      <c r="A27" t="s">
        <v>47</v>
      </c>
      <c r="B27" t="s">
        <v>13</v>
      </c>
      <c r="C27" t="s">
        <v>58</v>
      </c>
      <c r="D27">
        <v>54.7</v>
      </c>
      <c r="E27" s="2">
        <v>16304703</v>
      </c>
    </row>
    <row r="28" spans="1:5" x14ac:dyDescent="0.3">
      <c r="A28" t="s">
        <v>49</v>
      </c>
      <c r="B28" t="s">
        <v>12</v>
      </c>
      <c r="C28" t="s">
        <v>56</v>
      </c>
      <c r="D28">
        <v>40.72</v>
      </c>
      <c r="E28" s="2">
        <v>6489129</v>
      </c>
    </row>
    <row r="29" spans="1:5" x14ac:dyDescent="0.3">
      <c r="A29" t="s">
        <v>50</v>
      </c>
      <c r="B29" t="s">
        <v>6</v>
      </c>
      <c r="C29" t="s">
        <v>56</v>
      </c>
      <c r="D29">
        <v>119.48</v>
      </c>
      <c r="E29" s="2">
        <v>9390287</v>
      </c>
    </row>
    <row r="30" spans="1:5" x14ac:dyDescent="0.3">
      <c r="A30" t="s">
        <v>69</v>
      </c>
      <c r="B30" t="s">
        <v>25</v>
      </c>
      <c r="C30" t="s">
        <v>54</v>
      </c>
      <c r="D30">
        <v>39.21</v>
      </c>
      <c r="E30" s="2">
        <v>48094821</v>
      </c>
    </row>
  </sheetData>
  <pageMargins left="0.7" right="0.7" top="0.75" bottom="0.75" header="0.3" footer="0.3"/>
  <pageSetup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76342-D616-4B35-A823-479083B5EE59}">
  <dimension ref="A1:C8"/>
  <sheetViews>
    <sheetView workbookViewId="0">
      <selection activeCell="C17" sqref="C17"/>
    </sheetView>
  </sheetViews>
  <sheetFormatPr defaultRowHeight="14.4" x14ac:dyDescent="0.3"/>
  <cols>
    <col min="1" max="1" width="19.109375" bestFit="1" customWidth="1"/>
    <col min="2" max="2" width="19.77734375" bestFit="1" customWidth="1"/>
    <col min="3" max="3" width="14.109375" bestFit="1" customWidth="1"/>
  </cols>
  <sheetData>
    <row r="1" spans="1:3" x14ac:dyDescent="0.3">
      <c r="A1" s="3" t="s">
        <v>77</v>
      </c>
      <c r="B1" t="s">
        <v>76</v>
      </c>
      <c r="C1" t="s">
        <v>75</v>
      </c>
    </row>
    <row r="2" spans="1:3" x14ac:dyDescent="0.3">
      <c r="A2" s="4" t="s">
        <v>73</v>
      </c>
      <c r="B2" s="5">
        <v>594.7700000000001</v>
      </c>
      <c r="C2" s="5">
        <v>122763716</v>
      </c>
    </row>
    <row r="3" spans="1:3" x14ac:dyDescent="0.3">
      <c r="A3" s="6" t="s">
        <v>17</v>
      </c>
      <c r="B3" s="5">
        <v>241.41</v>
      </c>
      <c r="C3" s="5">
        <v>32470017</v>
      </c>
    </row>
    <row r="4" spans="1:3" x14ac:dyDescent="0.3">
      <c r="A4" s="6" t="s">
        <v>72</v>
      </c>
      <c r="B4" s="5">
        <v>39.06</v>
      </c>
      <c r="C4" s="5">
        <v>21235157</v>
      </c>
    </row>
    <row r="5" spans="1:3" x14ac:dyDescent="0.3">
      <c r="A5" s="6" t="s">
        <v>30</v>
      </c>
      <c r="B5" s="5">
        <v>106.34</v>
      </c>
      <c r="C5" s="5">
        <v>3909196</v>
      </c>
    </row>
    <row r="6" spans="1:3" x14ac:dyDescent="0.3">
      <c r="A6" s="6" t="s">
        <v>4</v>
      </c>
      <c r="B6" s="5">
        <v>54.13</v>
      </c>
      <c r="C6" s="5">
        <v>23906062</v>
      </c>
    </row>
    <row r="7" spans="1:3" x14ac:dyDescent="0.3">
      <c r="A7" s="6" t="s">
        <v>41</v>
      </c>
      <c r="B7" s="5">
        <v>153.83000000000001</v>
      </c>
      <c r="C7" s="5">
        <v>41243284</v>
      </c>
    </row>
    <row r="8" spans="1:3" x14ac:dyDescent="0.3">
      <c r="A8" s="4" t="s">
        <v>78</v>
      </c>
      <c r="B8" s="5">
        <v>594.7700000000001</v>
      </c>
      <c r="C8" s="5">
        <v>122763716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1BB74-C9A5-46F3-ACAA-13E543D42DDF}">
  <dimension ref="A1:C8"/>
  <sheetViews>
    <sheetView workbookViewId="0">
      <selection activeCell="M12" sqref="M12"/>
    </sheetView>
  </sheetViews>
  <sheetFormatPr defaultRowHeight="14.4" x14ac:dyDescent="0.3"/>
  <cols>
    <col min="1" max="1" width="21.44140625" bestFit="1" customWidth="1"/>
    <col min="2" max="2" width="19.77734375" bestFit="1" customWidth="1"/>
    <col min="3" max="3" width="14.109375" bestFit="1" customWidth="1"/>
  </cols>
  <sheetData>
    <row r="1" spans="1:3" x14ac:dyDescent="0.3">
      <c r="A1" s="3" t="s">
        <v>77</v>
      </c>
      <c r="B1" t="s">
        <v>76</v>
      </c>
      <c r="C1" t="s">
        <v>75</v>
      </c>
    </row>
    <row r="2" spans="1:3" x14ac:dyDescent="0.3">
      <c r="A2" s="4" t="s">
        <v>74</v>
      </c>
      <c r="B2" s="5">
        <v>229.49</v>
      </c>
      <c r="C2" s="5">
        <v>4356992</v>
      </c>
    </row>
    <row r="3" spans="1:3" x14ac:dyDescent="0.3">
      <c r="A3" s="6" t="s">
        <v>46</v>
      </c>
      <c r="B3" s="5">
        <v>229.49</v>
      </c>
      <c r="C3" s="5">
        <v>4356992</v>
      </c>
    </row>
    <row r="4" spans="1:3" x14ac:dyDescent="0.3">
      <c r="A4" s="4" t="s">
        <v>59</v>
      </c>
      <c r="B4" s="5">
        <v>244.06</v>
      </c>
      <c r="C4" s="5">
        <v>48896943</v>
      </c>
    </row>
    <row r="5" spans="1:3" x14ac:dyDescent="0.3">
      <c r="A5" s="6" t="s">
        <v>9</v>
      </c>
      <c r="B5" s="5">
        <v>134.16999999999999</v>
      </c>
      <c r="C5" s="5">
        <v>9409033</v>
      </c>
    </row>
    <row r="6" spans="1:3" x14ac:dyDescent="0.3">
      <c r="A6" s="6" t="s">
        <v>40</v>
      </c>
      <c r="B6" s="5">
        <v>76.25</v>
      </c>
      <c r="C6" s="5">
        <v>9181539</v>
      </c>
    </row>
    <row r="7" spans="1:3" x14ac:dyDescent="0.3">
      <c r="A7" s="6" t="s">
        <v>43</v>
      </c>
      <c r="B7" s="5">
        <v>33.64</v>
      </c>
      <c r="C7" s="5">
        <v>30306371</v>
      </c>
    </row>
    <row r="8" spans="1:3" x14ac:dyDescent="0.3">
      <c r="A8" s="4" t="s">
        <v>78</v>
      </c>
      <c r="B8" s="5">
        <v>473.54999999999995</v>
      </c>
      <c r="C8" s="5">
        <v>53253935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BD20D-CE12-4570-9412-48296C2B658A}">
  <dimension ref="A1:C7"/>
  <sheetViews>
    <sheetView workbookViewId="0">
      <selection activeCell="M2" sqref="M2"/>
    </sheetView>
  </sheetViews>
  <sheetFormatPr defaultRowHeight="14.4" x14ac:dyDescent="0.3"/>
  <cols>
    <col min="1" max="1" width="14.5546875" bestFit="1" customWidth="1"/>
    <col min="2" max="2" width="19.77734375" bestFit="1" customWidth="1"/>
    <col min="3" max="3" width="14.109375" bestFit="1" customWidth="1"/>
  </cols>
  <sheetData>
    <row r="1" spans="1:3" x14ac:dyDescent="0.3">
      <c r="A1" s="3" t="s">
        <v>77</v>
      </c>
      <c r="B1" t="s">
        <v>76</v>
      </c>
      <c r="C1" t="s">
        <v>75</v>
      </c>
    </row>
    <row r="2" spans="1:3" x14ac:dyDescent="0.3">
      <c r="A2" s="4" t="s">
        <v>57</v>
      </c>
      <c r="B2" s="5">
        <v>78.86</v>
      </c>
      <c r="C2" s="5">
        <v>8297443</v>
      </c>
    </row>
    <row r="3" spans="1:3" x14ac:dyDescent="0.3">
      <c r="A3" s="6" t="s">
        <v>42</v>
      </c>
      <c r="B3" s="5">
        <v>78.86</v>
      </c>
      <c r="C3" s="5">
        <v>8297443</v>
      </c>
    </row>
    <row r="4" spans="1:3" x14ac:dyDescent="0.3">
      <c r="A4" s="4" t="s">
        <v>55</v>
      </c>
      <c r="B4" s="5">
        <v>204.16000000000003</v>
      </c>
      <c r="C4" s="5">
        <v>17655650</v>
      </c>
    </row>
    <row r="5" spans="1:3" x14ac:dyDescent="0.3">
      <c r="A5" s="6" t="s">
        <v>62</v>
      </c>
      <c r="B5" s="5">
        <v>43.83</v>
      </c>
      <c r="C5" s="5">
        <v>13294556</v>
      </c>
    </row>
    <row r="6" spans="1:3" x14ac:dyDescent="0.3">
      <c r="A6" s="6" t="s">
        <v>63</v>
      </c>
      <c r="B6" s="5">
        <v>160.33000000000001</v>
      </c>
      <c r="C6" s="5">
        <v>4361094</v>
      </c>
    </row>
    <row r="7" spans="1:3" x14ac:dyDescent="0.3">
      <c r="A7" s="4" t="s">
        <v>78</v>
      </c>
      <c r="B7" s="5">
        <v>283.02</v>
      </c>
      <c r="C7" s="5">
        <v>25953093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B6D1-EA3F-4CBA-AE83-E9850F242EDD}">
  <dimension ref="A1:B16"/>
  <sheetViews>
    <sheetView workbookViewId="0"/>
  </sheetViews>
  <sheetFormatPr defaultRowHeight="14.4" x14ac:dyDescent="0.3"/>
  <cols>
    <col min="1" max="1" width="17.33203125" bestFit="1" customWidth="1"/>
    <col min="2" max="2" width="19.77734375" bestFit="1" customWidth="1"/>
  </cols>
  <sheetData>
    <row r="1" spans="1:2" x14ac:dyDescent="0.3">
      <c r="A1" s="3" t="s">
        <v>77</v>
      </c>
      <c r="B1" t="s">
        <v>76</v>
      </c>
    </row>
    <row r="2" spans="1:2" x14ac:dyDescent="0.3">
      <c r="A2" s="4" t="s">
        <v>79</v>
      </c>
      <c r="B2" s="5"/>
    </row>
    <row r="3" spans="1:2" x14ac:dyDescent="0.3">
      <c r="A3" s="4" t="s">
        <v>58</v>
      </c>
      <c r="B3" s="5">
        <v>54.7</v>
      </c>
    </row>
    <row r="4" spans="1:2" x14ac:dyDescent="0.3">
      <c r="A4" s="4" t="s">
        <v>57</v>
      </c>
      <c r="B4" s="5">
        <v>78.86</v>
      </c>
    </row>
    <row r="5" spans="1:2" x14ac:dyDescent="0.3">
      <c r="A5" s="4" t="s">
        <v>66</v>
      </c>
      <c r="B5" s="5">
        <v>93.88</v>
      </c>
    </row>
    <row r="6" spans="1:2" x14ac:dyDescent="0.3">
      <c r="A6" s="4" t="s">
        <v>54</v>
      </c>
      <c r="B6" s="5">
        <v>114.32</v>
      </c>
    </row>
    <row r="7" spans="1:2" x14ac:dyDescent="0.3">
      <c r="A7" s="4" t="s">
        <v>65</v>
      </c>
      <c r="B7" s="5">
        <v>115.08</v>
      </c>
    </row>
    <row r="8" spans="1:2" x14ac:dyDescent="0.3">
      <c r="A8" s="4" t="s">
        <v>55</v>
      </c>
      <c r="B8" s="5">
        <v>204.16000000000003</v>
      </c>
    </row>
    <row r="9" spans="1:2" x14ac:dyDescent="0.3">
      <c r="A9" s="4" t="s">
        <v>52</v>
      </c>
      <c r="B9" s="5">
        <v>219.8</v>
      </c>
    </row>
    <row r="10" spans="1:2" x14ac:dyDescent="0.3">
      <c r="A10" s="4" t="s">
        <v>74</v>
      </c>
      <c r="B10" s="5">
        <v>229.49</v>
      </c>
    </row>
    <row r="11" spans="1:2" x14ac:dyDescent="0.3">
      <c r="A11" s="4" t="s">
        <v>64</v>
      </c>
      <c r="B11" s="5">
        <v>239.19</v>
      </c>
    </row>
    <row r="12" spans="1:2" x14ac:dyDescent="0.3">
      <c r="A12" s="4" t="s">
        <v>59</v>
      </c>
      <c r="B12" s="5">
        <v>244.06</v>
      </c>
    </row>
    <row r="13" spans="1:2" x14ac:dyDescent="0.3">
      <c r="A13" s="4" t="s">
        <v>56</v>
      </c>
      <c r="B13" s="5">
        <v>338.9</v>
      </c>
    </row>
    <row r="14" spans="1:2" x14ac:dyDescent="0.3">
      <c r="A14" s="4" t="s">
        <v>53</v>
      </c>
      <c r="B14" s="5">
        <v>550.31999999999994</v>
      </c>
    </row>
    <row r="15" spans="1:2" x14ac:dyDescent="0.3">
      <c r="A15" s="4" t="s">
        <v>73</v>
      </c>
      <c r="B15" s="5">
        <v>594.7700000000001</v>
      </c>
    </row>
    <row r="16" spans="1:2" x14ac:dyDescent="0.3">
      <c r="A16" s="4" t="s">
        <v>78</v>
      </c>
      <c r="B16" s="5">
        <v>3077.5300000000007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97211-3206-4764-A9D7-370B44F693E6}">
  <dimension ref="A1:B5"/>
  <sheetViews>
    <sheetView workbookViewId="0">
      <selection activeCell="H21" sqref="H21"/>
    </sheetView>
  </sheetViews>
  <sheetFormatPr defaultRowHeight="14.4" x14ac:dyDescent="0.3"/>
  <cols>
    <col min="1" max="1" width="13.44140625" bestFit="1" customWidth="1"/>
    <col min="2" max="2" width="14.109375" bestFit="1" customWidth="1"/>
  </cols>
  <sheetData>
    <row r="1" spans="1:2" x14ac:dyDescent="0.3">
      <c r="A1" s="3" t="s">
        <v>77</v>
      </c>
      <c r="B1" t="s">
        <v>75</v>
      </c>
    </row>
    <row r="2" spans="1:2" x14ac:dyDescent="0.3">
      <c r="A2" s="4" t="s">
        <v>28</v>
      </c>
      <c r="B2" s="5">
        <v>3461642</v>
      </c>
    </row>
    <row r="3" spans="1:2" x14ac:dyDescent="0.3">
      <c r="A3" s="4" t="s">
        <v>68</v>
      </c>
      <c r="B3" s="5">
        <v>2773298</v>
      </c>
    </row>
    <row r="4" spans="1:2" x14ac:dyDescent="0.3">
      <c r="A4" s="4" t="s">
        <v>61</v>
      </c>
      <c r="B4" s="5">
        <v>1595000</v>
      </c>
    </row>
    <row r="5" spans="1:2" x14ac:dyDescent="0.3">
      <c r="A5" s="4" t="s">
        <v>78</v>
      </c>
      <c r="B5" s="5">
        <v>7829940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Technology</vt:lpstr>
      <vt:lpstr>Healthcare</vt:lpstr>
      <vt:lpstr>Food and Clothing</vt:lpstr>
      <vt:lpstr>Industry</vt:lpstr>
      <vt:lpstr>Bottom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Camm</dc:creator>
  <cp:lastModifiedBy>Lord Of Rivendell</cp:lastModifiedBy>
  <dcterms:created xsi:type="dcterms:W3CDTF">2020-04-05T02:22:03Z</dcterms:created>
  <dcterms:modified xsi:type="dcterms:W3CDTF">2024-08-21T16:04:39Z</dcterms:modified>
</cp:coreProperties>
</file>